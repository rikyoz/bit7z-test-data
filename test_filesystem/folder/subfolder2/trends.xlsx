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drawings/drawing9.xml" ContentType="application/vnd.openxmlformats-officedocument.drawing+xml"/>
  <Override PartName="/xl/tables/table8.xml" ContentType="application/vnd.openxmlformats-officedocument.spreadsheetml.table+xml"/>
  <Override PartName="/xl/drawings/drawing10.xml" ContentType="application/vnd.openxmlformats-officedocument.drawing+xml"/>
  <Override PartName="/xl/tables/table9.xml" ContentType="application/vnd.openxmlformats-officedocument.spreadsheetml.table+xml"/>
  <Override PartName="/xl/drawings/drawing11.xml" ContentType="application/vnd.openxmlformats-officedocument.drawing+xml"/>
  <Override PartName="/xl/tables/table10.xml" ContentType="application/vnd.openxmlformats-officedocument.spreadsheetml.table+xml"/>
  <Override PartName="/xl/drawings/drawing12.xml" ContentType="application/vnd.openxmlformats-officedocument.drawing+xml"/>
  <Override PartName="/xl/tables/table11.xml" ContentType="application/vnd.openxmlformats-officedocument.spreadsheetml.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hidePivotFieldList="1"/>
  <bookViews>
    <workbookView xWindow="0" yWindow="0" windowWidth="15480" windowHeight="11640" tabRatio="784" activeTab="1"/>
  </bookViews>
  <sheets>
    <sheet name="suggerimenti" sheetId="16" r:id="rId1"/>
    <sheet name="riepilogo" sheetId="2" r:id="rId2"/>
    <sheet name="gen" sheetId="3" r:id="rId3"/>
    <sheet name="feb" sheetId="4" r:id="rId4"/>
    <sheet name="mar" sheetId="5" r:id="rId5"/>
    <sheet name="apr" sheetId="6" r:id="rId6"/>
    <sheet name="mag" sheetId="7" r:id="rId7"/>
    <sheet name="giu" sheetId="8" r:id="rId8"/>
    <sheet name="lug" sheetId="9" r:id="rId9"/>
    <sheet name="ago" sheetId="10" r:id="rId10"/>
    <sheet name="set" sheetId="11" r:id="rId11"/>
    <sheet name="ott" sheetId="12" r:id="rId12"/>
    <sheet name="nov" sheetId="13" r:id="rId13"/>
    <sheet name="dic" sheetId="14" r:id="rId14"/>
  </sheets>
  <definedNames>
    <definedName name="_xlnm.Print_Area" localSheetId="9">ago!$A$1:$H$51</definedName>
    <definedName name="_xlnm.Print_Area" localSheetId="5">apr!$A$1:$H$51</definedName>
    <definedName name="_xlnm.Print_Area" localSheetId="13">dic!$A$1:$H$51</definedName>
    <definedName name="_xlnm.Print_Area" localSheetId="3">feb!$A$1:$H$51</definedName>
    <definedName name="_xlnm.Print_Area" localSheetId="2">gen!$A$1:$H$51</definedName>
    <definedName name="_xlnm.Print_Area" localSheetId="7">giu!$A$1:$H$51</definedName>
    <definedName name="_xlnm.Print_Area" localSheetId="8">lug!$A$1:$H$51</definedName>
    <definedName name="_xlnm.Print_Area" localSheetId="6">mag!$A$1:$H$51</definedName>
    <definedName name="_xlnm.Print_Area" localSheetId="4">mar!$A$1:$H$51</definedName>
    <definedName name="_xlnm.Print_Area" localSheetId="12">nov!$A$1:$H$51</definedName>
    <definedName name="_xlnm.Print_Area" localSheetId="11">ott!$A$1:$H$51</definedName>
    <definedName name="_xlnm.Print_Area" localSheetId="1">riepilogo!$A$1:$L$52</definedName>
    <definedName name="_xlnm.Print_Area" localSheetId="10">set!$A$1:$H$51</definedName>
    <definedName name="_xlnm.Print_Area" localSheetId="0">suggerimenti!$A$1:$O$45</definedName>
    <definedName name="CategorieDiSpesa">riepilogo!#REF!</definedName>
  </definedNames>
  <calcPr calcId="152511"/>
</workbook>
</file>

<file path=xl/calcChain.xml><?xml version="1.0" encoding="utf-8"?>
<calcChain xmlns="http://schemas.openxmlformats.org/spreadsheetml/2006/main">
  <c r="N20" i="2" l="1"/>
  <c r="N21" i="2"/>
  <c r="N22" i="2"/>
  <c r="N23" i="2"/>
  <c r="N19" i="2"/>
  <c r="M19" i="2"/>
  <c r="M20" i="2"/>
  <c r="M21" i="2"/>
  <c r="M22" i="2"/>
  <c r="M23" i="2"/>
  <c r="L20" i="2"/>
  <c r="L21" i="2"/>
  <c r="L22" i="2"/>
  <c r="L23" i="2"/>
  <c r="L19" i="2"/>
  <c r="K20" i="2"/>
  <c r="K21" i="2"/>
  <c r="K22" i="2"/>
  <c r="K23" i="2"/>
  <c r="K19" i="2"/>
  <c r="J20" i="2"/>
  <c r="J21" i="2"/>
  <c r="J22" i="2"/>
  <c r="J23" i="2"/>
  <c r="J19" i="2"/>
  <c r="I20" i="2"/>
  <c r="I21" i="2"/>
  <c r="I22" i="2"/>
  <c r="I23" i="2"/>
  <c r="I19" i="2"/>
  <c r="H20" i="2"/>
  <c r="H21" i="2"/>
  <c r="H22" i="2"/>
  <c r="H23" i="2"/>
  <c r="H19" i="2"/>
  <c r="G20" i="2"/>
  <c r="G21" i="2"/>
  <c r="G22" i="2"/>
  <c r="G23" i="2"/>
  <c r="G19" i="2"/>
  <c r="G24" i="2" s="1"/>
  <c r="F19" i="2"/>
  <c r="F20" i="2"/>
  <c r="F21" i="2"/>
  <c r="F22" i="2"/>
  <c r="F23" i="2"/>
  <c r="E20" i="2"/>
  <c r="E21" i="2"/>
  <c r="E22" i="2"/>
  <c r="E23" i="2"/>
  <c r="E19" i="2"/>
  <c r="D20" i="2"/>
  <c r="D21" i="2"/>
  <c r="D22" i="2"/>
  <c r="D23" i="2"/>
  <c r="D19" i="2"/>
  <c r="C20" i="2"/>
  <c r="C21" i="2"/>
  <c r="C22" i="2"/>
  <c r="C23" i="2"/>
  <c r="C19" i="2"/>
  <c r="D11" i="3"/>
  <c r="D11" i="4"/>
  <c r="D11" i="5"/>
  <c r="D11" i="6"/>
  <c r="D11" i="7"/>
  <c r="D11" i="8"/>
  <c r="D11" i="9"/>
  <c r="D11" i="10"/>
  <c r="D11" i="11"/>
  <c r="D11" i="12"/>
  <c r="D11" i="13"/>
  <c r="D11" i="14"/>
  <c r="O20" i="2" l="1"/>
  <c r="O19" i="2"/>
  <c r="O21" i="2"/>
  <c r="N24" i="2"/>
  <c r="K24" i="2"/>
  <c r="O23" i="2"/>
  <c r="H24" i="2"/>
  <c r="L24" i="2"/>
  <c r="D24" i="2"/>
  <c r="O22" i="2"/>
  <c r="E24" i="2"/>
  <c r="I24" i="2"/>
  <c r="J24" i="2"/>
  <c r="F24" i="2"/>
  <c r="M24" i="2"/>
  <c r="C24" i="2"/>
  <c r="O24" i="2" l="1"/>
</calcChain>
</file>

<file path=xl/sharedStrings.xml><?xml version="1.0" encoding="utf-8"?>
<sst xmlns="http://schemas.openxmlformats.org/spreadsheetml/2006/main" count="253" uniqueCount="52">
  <si>
    <t>Spese</t>
  </si>
  <si>
    <t>Spesa 1</t>
  </si>
  <si>
    <t>Spesa 2</t>
  </si>
  <si>
    <t>Spesa 3</t>
  </si>
  <si>
    <t>Spesa 4</t>
  </si>
  <si>
    <t>Spesa 5</t>
  </si>
  <si>
    <t>Data</t>
  </si>
  <si>
    <t>N. ordine di acquisto</t>
  </si>
  <si>
    <t>Importo</t>
  </si>
  <si>
    <t>Descrizione</t>
  </si>
  <si>
    <t>Categoria</t>
  </si>
  <si>
    <t>A-12345</t>
  </si>
  <si>
    <t>Totale</t>
  </si>
  <si>
    <t>A-12346</t>
  </si>
  <si>
    <t>Gen</t>
  </si>
  <si>
    <t>Feb</t>
  </si>
  <si>
    <t>Mar</t>
  </si>
  <si>
    <t>Apr</t>
  </si>
  <si>
    <t>Mag</t>
  </si>
  <si>
    <t>Giu</t>
  </si>
  <si>
    <t>Lug</t>
  </si>
  <si>
    <t>Ago</t>
  </si>
  <si>
    <t>Set</t>
  </si>
  <si>
    <t>Ott</t>
  </si>
  <si>
    <t>Nov</t>
  </si>
  <si>
    <t>Dic</t>
  </si>
  <si>
    <t>Tendenza</t>
  </si>
  <si>
    <t>C'è un modo semplice per passare dal foglio Tendenze di spesa ai dettagli sulle spese mensili e viceversa?</t>
  </si>
  <si>
    <t>Il riepilogo delle spese nella parte bassa del grafico e i dettagli delle spese di ogni mese sono tabelle di Excel. Per aggiungere nuove righe a una tabella di Excel, eseguire una delle operazioni seguenti:</t>
  </si>
  <si>
    <t xml:space="preserve">● </t>
  </si>
  <si>
    <t>Nell'angolo inferiore destro della tabella posizionare il mouse sul quadratino di ridimensionamento e trascinarlo verso il basso, per aumentare il numero di righe disponibili.</t>
  </si>
  <si>
    <t>TENDENZE DI SPESA</t>
  </si>
  <si>
    <t>SPESE GENNAIO</t>
  </si>
  <si>
    <t>SPESE FEBBRAIO</t>
  </si>
  <si>
    <t>SPESE MARZO</t>
  </si>
  <si>
    <t>SPESE APRILE</t>
  </si>
  <si>
    <t>SPESE MAGGIO</t>
  </si>
  <si>
    <t>SPESE GIUGNO</t>
  </si>
  <si>
    <t>SPESE LUGLIO</t>
  </si>
  <si>
    <t>SPESE AGOSTO</t>
  </si>
  <si>
    <t>SPESE SETTEMBRE</t>
  </si>
  <si>
    <t>SPESE OTTOBRE</t>
  </si>
  <si>
    <t>SPESE NOVEMBRE</t>
  </si>
  <si>
    <t>SPESE DICEMBRE</t>
  </si>
  <si>
    <t>SUGGERIMENTO MODELLO</t>
  </si>
  <si>
    <t>Come si può aggiungere un nuovo tipo di spesa al riepilogo delle spese o nuove spese mensili?</t>
  </si>
  <si>
    <t>Forniture</t>
  </si>
  <si>
    <r>
      <t xml:space="preserve">Fare clic con il pulsante destro del mouse nella tabella e scegliere </t>
    </r>
    <r>
      <rPr>
        <b/>
        <sz val="10"/>
        <color theme="1"/>
        <rFont val="Calibri"/>
        <family val="2"/>
        <scheme val="minor"/>
      </rPr>
      <t>Inserisci dal menu di scelta rapida,</t>
    </r>
    <r>
      <rPr>
        <sz val="10"/>
        <color theme="1"/>
        <rFont val="Calibri"/>
        <family val="2"/>
        <scheme val="minor"/>
      </rPr>
      <t xml:space="preserve"> quindi fare clic su </t>
    </r>
    <r>
      <rPr>
        <b/>
        <sz val="10"/>
        <color theme="1"/>
        <rFont val="Calibri"/>
        <family val="2"/>
        <scheme val="minor"/>
      </rPr>
      <t>Righe tabella sopra</t>
    </r>
    <r>
      <rPr>
        <sz val="10"/>
        <color theme="1"/>
        <rFont val="Calibri"/>
        <family val="2"/>
        <scheme val="minor"/>
      </rPr>
      <t xml:space="preserve"> o R</t>
    </r>
    <r>
      <rPr>
        <b/>
        <sz val="10"/>
        <color theme="1"/>
        <rFont val="Calibri"/>
        <family val="2"/>
        <scheme val="minor"/>
      </rPr>
      <t>ighe tabella sotto</t>
    </r>
    <r>
      <rPr>
        <sz val="10"/>
        <color theme="1"/>
        <rFont val="Calibri"/>
        <family val="2"/>
        <scheme val="minor"/>
      </rPr>
      <t xml:space="preserve">. </t>
    </r>
  </si>
  <si>
    <r>
      <t xml:space="preserve">Per passare rapidamente alle spese di un mese specifico, fare clic sul pulsante associato nella parte superiore del grafico, ad esempio sul pulsante  </t>
    </r>
    <r>
      <rPr>
        <b/>
        <sz val="10"/>
        <color theme="1"/>
        <rFont val="Calibri"/>
        <family val="2"/>
        <scheme val="minor"/>
      </rPr>
      <t xml:space="preserve">Gen </t>
    </r>
    <r>
      <rPr>
        <sz val="10"/>
        <color theme="1"/>
        <rFont val="Calibri"/>
        <family val="2"/>
        <scheme val="minor"/>
      </rPr>
      <t xml:space="preserve">. Quindi, per tornare al foglio Tendenze di spesa, fare clic sul pulsante </t>
    </r>
    <r>
      <rPr>
        <b/>
        <sz val="10"/>
        <color theme="1"/>
        <rFont val="Calibri"/>
        <family val="2"/>
        <scheme val="minor"/>
      </rPr>
      <t>Riepilogo</t>
    </r>
    <r>
      <rPr>
        <sz val="10"/>
        <color theme="1"/>
        <rFont val="Calibri"/>
        <family val="2"/>
        <scheme val="minor"/>
      </rPr>
      <t xml:space="preserve"> nella parte superiore del grafico. </t>
    </r>
  </si>
  <si>
    <r>
      <t xml:space="preserve">Posizionare il puntatore nell'ultima cella sopra la riga Totale, ad esempio il totale dell'ultima spesa, quindi premere </t>
    </r>
    <r>
      <rPr>
        <b/>
        <sz val="10"/>
        <color theme="1"/>
        <rFont val="Calibri"/>
        <family val="2"/>
        <scheme val="minor"/>
      </rPr>
      <t>TAB</t>
    </r>
    <r>
      <rPr>
        <sz val="10"/>
        <color theme="1"/>
        <rFont val="Calibri"/>
        <family val="2"/>
        <scheme val="minor"/>
      </rPr>
      <t xml:space="preserve"> .</t>
    </r>
  </si>
  <si>
    <r>
      <t xml:space="preserve">Se la tabella non include una riga Totale, iniziare a digitare sotto di essa. La tabella verrà infatti automaticamente estesa quando si preme  </t>
    </r>
    <r>
      <rPr>
        <b/>
        <sz val="10"/>
        <color theme="1"/>
        <rFont val="Calibri"/>
        <family val="2"/>
        <scheme val="minor"/>
      </rPr>
      <t>INVIO</t>
    </r>
    <r>
      <rPr>
        <sz val="10"/>
        <color theme="1"/>
        <rFont val="Calibri"/>
        <family val="2"/>
        <scheme val="minor"/>
      </rPr>
      <t xml:space="preserve"> o </t>
    </r>
    <r>
      <rPr>
        <b/>
        <sz val="10"/>
        <color theme="1"/>
        <rFont val="Calibri"/>
        <family val="2"/>
        <scheme val="minor"/>
      </rPr>
      <t>TAB</t>
    </r>
    <r>
      <rPr>
        <sz val="10"/>
        <color theme="1"/>
        <rFont val="Calibri"/>
        <family val="2"/>
        <scheme val="minor"/>
      </rPr>
      <t xml:space="preserve"> .</t>
    </r>
  </si>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</sst>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11">
    <font>
      <sz val="10"/>
      <color theme="1"/>
      <name val="Calibri"/>
      <family val="2"/>
      <scheme val="minor"/>
    </font>
    <font>
      <b/>
      <sz val="18"/>
      <color theme="1"/>
      <name val="Calibri"/>
      <family val="2"/>
      <scheme val="minor"/>
    </font>
    <font>
      <sz val="25.5"/>
      <color theme="1" tint="0.34998626667073579"/>
      <name val="Century Gothic"/>
      <family val="2"/>
      <scheme val="major"/>
    </font>
    <font>
      <sz val="9"/>
      <color theme="1"/>
      <name val="Century Gothic"/>
      <family val="2"/>
      <scheme val="major"/>
    </font>
    <font>
      <sz val="8"/>
      <color theme="1"/>
      <name val="Century Gothic"/>
      <family val="2"/>
      <scheme val="major"/>
    </font>
    <font>
      <b/>
      <sz val="10"/>
      <color theme="1"/>
      <name val="Century Gothic"/>
      <family val="2"/>
      <scheme val="major"/>
    </font>
    <font>
      <sz val="10"/>
      <color theme="1"/>
      <name val="Calibri"/>
      <family val="2"/>
      <scheme val="minor"/>
    </font>
    <font>
      <b/>
      <sz val="10"/>
      <color theme="1"/>
      <name val="Calibri"/>
      <family val="2"/>
      <scheme val="minor"/>
    </font>
    <font>
      <b/>
      <i/>
      <strike/>
      <condense/>
      <extend/>
      <outline/>
      <shadow/>
      <sz val="8"/>
      <color theme="1"/>
      <name val="Century Gothic"/>
      <family val="2"/>
      <scheme val="major"/>
    </font>
    <font>
      <b/>
      <condense/>
      <extend/>
      <outline/>
      <shadow/>
      <sz val="8"/>
      <color theme="1"/>
      <name val="Century Gothic"/>
      <family val="2"/>
      <scheme val="major"/>
    </font>
    <font>
      <sz val="9"/>
      <name val="Calibri"/>
      <family val="3"/>
      <charset val="136"/>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4" fontId="4" fillId="0" borderId="0" xfId="0" applyNumberFormat="1" applyFont="1"/>
    <xf numFmtId="4" fontId="4" fillId="2" borderId="0" xfId="0" applyNumberFormat="1" applyFont="1" applyFill="1"/>
    <xf numFmtId="0" fontId="3" fillId="0" borderId="0" xfId="0" applyFont="1" applyAlignment="1">
      <alignment horizontal="left" indent="1"/>
    </xf>
    <xf numFmtId="0" fontId="3" fillId="2" borderId="0" xfId="0" applyFont="1" applyFill="1" applyAlignment="1">
      <alignment horizontal="left" indent="1"/>
    </xf>
    <xf numFmtId="4" fontId="4" fillId="0" borderId="0" xfId="0" applyNumberFormat="1" applyFont="1" applyAlignment="1">
      <alignment horizontal="right" indent="1"/>
    </xf>
    <xf numFmtId="4" fontId="4" fillId="2" borderId="0" xfId="0" applyNumberFormat="1" applyFont="1" applyFill="1" applyAlignment="1">
      <alignment horizontal="right" indent="1"/>
    </xf>
    <xf numFmtId="0" fontId="4" fillId="2" borderId="0" xfId="0" applyFont="1" applyFill="1" applyAlignment="1">
      <alignment horizontal="left" indent="1"/>
    </xf>
    <xf numFmtId="0" fontId="3" fillId="0" borderId="0" xfId="0" applyFont="1" applyFill="1" applyBorder="1" applyAlignment="1">
      <alignment horizontal="left" indent="1"/>
    </xf>
    <xf numFmtId="0" fontId="4" fillId="0" borderId="0" xfId="0" applyFont="1" applyFill="1" applyBorder="1" applyAlignment="1">
      <alignment horizontal="left" indent="1"/>
    </xf>
    <xf numFmtId="0" fontId="3" fillId="2" borderId="0" xfId="0" applyFont="1" applyFill="1" applyBorder="1" applyAlignment="1">
      <alignment horizontal="left" indent="1"/>
    </xf>
    <xf numFmtId="14" fontId="4" fillId="2" borderId="0" xfId="0" applyNumberFormat="1" applyFont="1" applyFill="1" applyBorder="1" applyAlignment="1">
      <alignment horizontal="left" indent="1"/>
    </xf>
    <xf numFmtId="0" fontId="4" fillId="2" borderId="0" xfId="0" applyFont="1" applyFill="1" applyBorder="1" applyAlignment="1">
      <alignment horizontal="left" indent="1"/>
    </xf>
    <xf numFmtId="0" fontId="3" fillId="0" borderId="0" xfId="0" applyFont="1"/>
    <xf numFmtId="0" fontId="6" fillId="0" borderId="0" xfId="0" applyFont="1" applyAlignment="1">
      <alignment horizontal="right" vertical="top"/>
    </xf>
    <xf numFmtId="4" fontId="4" fillId="2" borderId="0" xfId="0" applyNumberFormat="1" applyFont="1" applyFill="1" applyBorder="1" applyAlignment="1">
      <alignment horizontal="right" indent="1"/>
    </xf>
    <xf numFmtId="4" fontId="0" fillId="0" borderId="0" xfId="0" applyNumberFormat="1"/>
    <xf numFmtId="0" fontId="8" fillId="2" borderId="0" xfId="0" applyFont="1" applyFill="1" applyBorder="1" applyAlignment="1">
      <alignment horizontal="left" indent="1"/>
    </xf>
    <xf numFmtId="0" fontId="8" fillId="0" borderId="0" xfId="0" applyFont="1" applyFill="1" applyBorder="1" applyAlignment="1">
      <alignment horizontal="left" indent="1"/>
    </xf>
    <xf numFmtId="0" fontId="9" fillId="2" borderId="0" xfId="0" applyFont="1" applyFill="1" applyBorder="1" applyAlignment="1">
      <alignment horizontal="left" indent="1"/>
    </xf>
    <xf numFmtId="4" fontId="9" fillId="2" borderId="0" xfId="0" applyNumberFormat="1" applyFont="1" applyFill="1" applyBorder="1" applyAlignment="1">
      <alignment horizontal="right" indent="1"/>
    </xf>
    <xf numFmtId="164" fontId="4" fillId="2" borderId="0" xfId="0" applyNumberFormat="1" applyFont="1" applyFill="1" applyBorder="1" applyAlignment="1">
      <alignment horizontal="left" indent="1"/>
    </xf>
    <xf numFmtId="0" fontId="9" fillId="0" borderId="0" xfId="0" applyFont="1" applyFill="1" applyBorder="1" applyAlignment="1">
      <alignment horizontal="left" indent="1"/>
    </xf>
    <xf numFmtId="0" fontId="8" fillId="2" borderId="0" xfId="0" applyNumberFormat="1" applyFont="1" applyFill="1"/>
    <xf numFmtId="0" fontId="9" fillId="2" borderId="0" xfId="0" applyFont="1" applyFill="1" applyAlignment="1">
      <alignment horizontal="left" indent="1"/>
    </xf>
    <xf numFmtId="4" fontId="9" fillId="0" borderId="0" xfId="0" applyNumberFormat="1" applyFont="1" applyAlignment="1">
      <alignment horizontal="right" indent="1"/>
    </xf>
    <xf numFmtId="4" fontId="9" fillId="2" borderId="0" xfId="0" applyNumberFormat="1" applyFont="1" applyFill="1" applyAlignment="1">
      <alignment horizontal="right" indent="1"/>
    </xf>
    <xf numFmtId="4" fontId="9" fillId="0" borderId="0" xfId="0" applyNumberFormat="1" applyFont="1"/>
    <xf numFmtId="0" fontId="6" fillId="0" borderId="0" xfId="0" applyFont="1" applyAlignment="1">
      <alignment vertical="top" wrapText="1"/>
    </xf>
    <xf numFmtId="0" fontId="5" fillId="2" borderId="0" xfId="0" applyFont="1" applyFill="1" applyAlignment="1">
      <alignment horizontal="left" vertical="center" indent="1"/>
    </xf>
    <xf numFmtId="0" fontId="6" fillId="0" borderId="0" xfId="0" applyFont="1" applyAlignment="1">
      <alignment vertical="center" wrapText="1"/>
    </xf>
    <xf numFmtId="0" fontId="6" fillId="0" borderId="0" xfId="0" applyFont="1" applyAlignment="1">
      <alignment horizontal="left" vertical="center" wrapText="1"/>
    </xf>
  </cellXfs>
  <cellStyles count="1">
    <cellStyle name="Normale" xfId="0" builtinId="0" customBuiltin="1"/>
  </cellStyles>
  <dxfs count="174">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numFmt numFmtId="4" formatCode="#,##0.00"/>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numFmt numFmtId="4" formatCode="#,##0.00"/>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numFmt numFmtId="165" formatCode="m/d/yyyy"/>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9"/>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numFmt numFmtId="4" formatCode="#,##0.00"/>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numFmt numFmtId="165" formatCode="m/d/yyyy"/>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9"/>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numFmt numFmtId="4" formatCode="#,##0.00"/>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numFmt numFmtId="165" formatCode="m/d/yyyy"/>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9"/>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numFmt numFmtId="4" formatCode="#,##0.00"/>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numFmt numFmtId="165" formatCode="m/d/yyyy"/>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9"/>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numFmt numFmtId="4" formatCode="#,##0.00"/>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numFmt numFmtId="165" formatCode="m/d/yyyy"/>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9"/>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numFmt numFmtId="4" formatCode="#,##0.00"/>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numFmt numFmtId="165" formatCode="m/d/yyyy"/>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9"/>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numFmt numFmtId="4" formatCode="#,##0.00"/>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numFmt numFmtId="165" formatCode="m/d/yyyy"/>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9"/>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numFmt numFmtId="4" formatCode="#,##0.00"/>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numFmt numFmtId="165" formatCode="m/d/yyyy"/>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9"/>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numFmt numFmtId="4" formatCode="#,##0.00"/>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numFmt numFmtId="165" formatCode="m/d/yyyy"/>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9"/>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numFmt numFmtId="4" formatCode="#,##0.00"/>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numFmt numFmtId="165" formatCode="m/d/yyyy"/>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9"/>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condense/>
        <extend/>
        <outline/>
        <shadow/>
        <u val="none"/>
        <vertAlign val="baseline"/>
        <sz val="8"/>
        <color theme="1"/>
        <name val="Century Gothic"/>
        <scheme val="major"/>
      </font>
      <numFmt numFmtId="4" formatCode="#,##0.00"/>
      <fill>
        <patternFill patternType="solid">
          <fgColor indexed="64"/>
          <bgColor theme="0" tint="-4.9989318521683403E-2"/>
        </patternFill>
      </fill>
      <alignment horizontal="righ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numFmt numFmtId="165" formatCode="m/d/yyyy"/>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9"/>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border diagonalUp="0" diagonalDown="0" outline="0">
        <left/>
        <right/>
        <top/>
        <bottom/>
      </border>
    </dxf>
    <dxf>
      <font>
        <strike/>
        <outline/>
        <shadow/>
        <u val="none"/>
        <vertAlign val="baseline"/>
        <sz val="8"/>
        <color theme="1"/>
      </font>
      <fill>
        <patternFill patternType="solid">
          <fgColor indexed="64"/>
          <bgColor theme="0" tint="-4.9989318521683403E-2"/>
        </patternFill>
      </fill>
      <alignment horizontal="left" vertical="bottom" textRotation="0" wrapText="0" indent="1" justifyLastLine="0" shrinkToFit="0" readingOrder="0"/>
    </dxf>
    <dxf>
      <font>
        <b/>
        <i/>
        <strike/>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strike/>
        <outline/>
        <shadow/>
        <u val="none"/>
        <vertAlign val="baseline"/>
        <sz val="8"/>
        <color theme="1"/>
      </font>
      <alignment horizontal="left" vertical="bottom" textRotation="0" wrapText="0" indent="1" justifyLastLine="0" shrinkToFit="0" readingOrder="0"/>
    </dxf>
    <dxf>
      <font>
        <b/>
        <i val="0"/>
        <strike val="0"/>
        <condense/>
        <extend/>
        <outline/>
        <shadow/>
        <u val="none"/>
        <vertAlign val="baseline"/>
        <sz val="8"/>
        <color theme="1"/>
        <name val="Century Gothic"/>
        <scheme val="major"/>
      </font>
      <numFmt numFmtId="4" formatCode="#,##0.00"/>
      <fill>
        <patternFill patternType="solid">
          <fgColor indexed="64"/>
          <bgColor theme="0" tint="-4.9989318521683403E-2"/>
        </patternFill>
      </fill>
      <alignment horizontal="right" vertical="bottom" textRotation="0" wrapText="0" indent="1" justifyLastLine="0" shrinkToFit="0" readingOrder="0"/>
      <border diagonalUp="0" diagonalDown="0" outline="0">
        <left/>
        <right/>
        <top/>
        <bottom/>
      </border>
    </dxf>
    <dxf>
      <font>
        <b/>
        <i/>
        <strike/>
        <outline/>
        <shadow/>
        <u val="none"/>
        <vertAlign val="baseline"/>
        <sz val="8"/>
        <color theme="1"/>
        <name val="Century Gothic"/>
        <scheme val="major"/>
      </font>
      <numFmt numFmtId="4" formatCode="#,##0.00"/>
      <fill>
        <patternFill patternType="solid">
          <fgColor indexed="64"/>
          <bgColor theme="0" tint="-4.9989318521683403E-2"/>
        </patternFill>
      </fill>
      <alignment horizontal="righ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none">
          <fgColor indexed="64"/>
          <bgColor indexed="65"/>
        </patternFill>
      </fill>
      <alignment horizontal="left" vertical="bottom" textRotation="0" wrapText="0" indent="1" justifyLastLine="0" shrinkToFit="0" readingOrder="0"/>
      <border diagonalUp="0" diagonalDown="0" outline="0">
        <left/>
        <right/>
        <top/>
        <bottom/>
      </border>
    </dxf>
    <dxf>
      <font>
        <strike/>
        <outline/>
        <shadow/>
        <u val="none"/>
        <vertAlign val="baseline"/>
        <sz val="8"/>
        <color theme="1"/>
      </font>
      <alignment horizontal="lef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border diagonalUp="0" diagonalDown="0" outline="0">
        <left/>
        <right/>
        <top/>
        <bottom/>
      </border>
    </dxf>
    <dxf>
      <font>
        <strike/>
        <outline/>
        <shadow/>
        <u val="none"/>
        <vertAlign val="baseline"/>
        <sz val="8"/>
        <color theme="1"/>
      </font>
      <fill>
        <patternFill patternType="solid">
          <fgColor indexed="64"/>
          <bgColor theme="0" tint="-4.9989318521683403E-2"/>
        </patternFill>
      </fill>
      <alignment horizontal="left" vertical="bottom" textRotation="0" wrapText="0" indent="1" justifyLastLine="0" shrinkToFit="0" readingOrder="0"/>
    </dxf>
    <dxf>
      <font>
        <b/>
        <strike/>
        <outline/>
        <shadow/>
        <u val="none"/>
        <vertAlign val="baseline"/>
        <sz val="8"/>
        <color theme="1"/>
        <name val="Century Gothic"/>
        <scheme val="major"/>
      </font>
    </dxf>
    <dxf>
      <font>
        <strike/>
        <outline/>
        <shadow/>
        <u val="none"/>
        <vertAlign val="baseline"/>
        <sz val="8"/>
        <color theme="1"/>
        <name val="Century Gothic"/>
        <scheme val="major"/>
      </font>
    </dxf>
    <dxf>
      <font>
        <strike/>
        <outline/>
        <shadow/>
        <u val="none"/>
        <vertAlign val="baseline"/>
        <sz val="9"/>
        <color theme="1"/>
        <name val="Century Gothic"/>
        <scheme val="major"/>
      </font>
      <alignment horizontal="left" vertical="bottom" textRotation="0" wrapText="0" relativeIndent="1" justifyLastLine="0" shrinkToFit="0" readingOrder="0"/>
    </dxf>
    <dxf>
      <font>
        <b/>
        <i/>
        <strike/>
        <condense/>
        <extend/>
        <outline/>
        <shadow/>
        <u val="none"/>
        <vertAlign val="baseline"/>
        <sz val="8"/>
        <color theme="1"/>
        <name val="Century Gothic"/>
        <scheme val="major"/>
      </font>
      <numFmt numFmtId="0" formatCode="General"/>
      <fill>
        <patternFill patternType="solid">
          <fgColor indexed="64"/>
          <bgColor theme="0" tint="-4.9989318521683403E-2"/>
        </patternFill>
      </fill>
    </dxf>
    <dxf>
      <font>
        <b/>
        <i/>
        <strike/>
        <condense/>
        <extend/>
        <outline/>
        <shadow/>
        <u val="none"/>
        <vertAlign val="baseline"/>
        <sz val="8"/>
        <color theme="1"/>
        <name val="Century Gothic"/>
        <scheme val="major"/>
      </font>
      <numFmt numFmtId="4" formatCode="#,##0.00"/>
      <fill>
        <patternFill patternType="solid">
          <fgColor indexed="64"/>
          <bgColor theme="0" tint="-4.9989318521683403E-2"/>
        </patternFill>
      </fill>
    </dxf>
    <dxf>
      <font>
        <b/>
        <i val="0"/>
        <strike val="0"/>
        <condense/>
        <extend/>
        <outline/>
        <shadow/>
        <u val="none"/>
        <vertAlign val="baseline"/>
        <sz val="8"/>
        <color theme="1"/>
        <name val="Century Gothic"/>
        <scheme val="major"/>
      </font>
      <numFmt numFmtId="0" formatCode="General"/>
    </dxf>
    <dxf>
      <font>
        <b/>
        <i/>
        <strike/>
        <outline/>
        <shadow/>
        <u val="none"/>
        <vertAlign val="baseline"/>
        <sz val="8"/>
        <color theme="1"/>
      </font>
      <alignment horizontal="righ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outline/>
        <shadow/>
        <u val="none"/>
        <vertAlign val="baseline"/>
        <sz val="8"/>
        <color theme="1"/>
      </font>
      <alignment horizontal="righ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dxf>
    <dxf>
      <font>
        <b/>
        <i/>
        <strike/>
        <outline/>
        <shadow/>
        <u val="none"/>
        <vertAlign val="baseline"/>
        <sz val="8"/>
        <color theme="1"/>
      </font>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outline/>
        <shadow/>
        <u val="none"/>
        <vertAlign val="baseline"/>
        <sz val="8"/>
        <color theme="1"/>
      </font>
      <alignment horizontal="righ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alignment horizontal="right" vertical="bottom" textRotation="0" wrapText="0" indent="1" justifyLastLine="0" shrinkToFit="0" readingOrder="0"/>
    </dxf>
    <dxf>
      <font>
        <b/>
        <i/>
        <strike/>
        <outline/>
        <shadow/>
        <u val="none"/>
        <vertAlign val="baseline"/>
        <sz val="8"/>
        <color theme="1"/>
      </font>
      <alignment horizontal="righ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outline/>
        <shadow/>
        <u val="none"/>
        <vertAlign val="baseline"/>
        <sz val="8"/>
        <color theme="1"/>
      </font>
      <alignment horizontal="righ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alignment horizontal="right" vertical="bottom" textRotation="0" wrapText="0" indent="1" justifyLastLine="0" shrinkToFit="0" readingOrder="0"/>
    </dxf>
    <dxf>
      <font>
        <b/>
        <i/>
        <strike/>
        <outline/>
        <shadow/>
        <u val="none"/>
        <vertAlign val="baseline"/>
        <sz val="8"/>
        <color theme="1"/>
      </font>
      <alignment horizontal="righ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outline/>
        <shadow/>
        <u val="none"/>
        <vertAlign val="baseline"/>
        <sz val="8"/>
        <color theme="1"/>
      </font>
      <alignment horizontal="righ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alignment horizontal="right" vertical="bottom" textRotation="0" wrapText="0" indent="1" justifyLastLine="0" shrinkToFit="0" readingOrder="0"/>
    </dxf>
    <dxf>
      <font>
        <b/>
        <i/>
        <strike/>
        <outline/>
        <shadow/>
        <u val="none"/>
        <vertAlign val="baseline"/>
        <sz val="8"/>
        <color theme="1"/>
      </font>
      <alignment horizontal="righ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outline/>
        <shadow/>
        <u val="none"/>
        <vertAlign val="baseline"/>
        <sz val="8"/>
        <color theme="1"/>
      </font>
      <alignment horizontal="righ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alignment horizontal="right" vertical="bottom" textRotation="0" wrapText="0" indent="1" justifyLastLine="0" shrinkToFit="0" readingOrder="0"/>
    </dxf>
    <dxf>
      <font>
        <b/>
        <i/>
        <strike/>
        <outline/>
        <shadow/>
        <u val="none"/>
        <vertAlign val="baseline"/>
        <sz val="8"/>
        <color theme="1"/>
      </font>
      <alignment horizontal="righ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fill>
        <patternFill patternType="solid">
          <fgColor indexed="64"/>
          <bgColor theme="0" tint="-4.9989318521683403E-2"/>
        </patternFill>
      </fill>
      <alignment horizontal="right" vertical="bottom" textRotation="0" wrapText="0" indent="1" justifyLastLine="0" shrinkToFit="0" readingOrder="0"/>
    </dxf>
    <dxf>
      <font>
        <b/>
        <i/>
        <strike/>
        <outline/>
        <shadow/>
        <u val="none"/>
        <vertAlign val="baseline"/>
        <sz val="8"/>
        <color theme="1"/>
      </font>
      <alignment horizontal="right" vertical="bottom" textRotation="0" wrapText="0" indent="1" justifyLastLine="0" shrinkToFit="0" readingOrder="0"/>
    </dxf>
    <dxf>
      <font>
        <b/>
        <i val="0"/>
        <strike val="0"/>
        <condense/>
        <extend/>
        <outline/>
        <shadow/>
        <u val="none"/>
        <vertAlign val="baseline"/>
        <sz val="8"/>
        <color theme="1"/>
        <name val="Century Gothic"/>
        <scheme val="major"/>
      </font>
      <numFmt numFmtId="0" formatCode="General"/>
      <alignment horizontal="right" vertical="bottom" textRotation="0" wrapText="0" indent="1" justifyLastLine="0" shrinkToFit="0" readingOrder="0"/>
    </dxf>
    <dxf>
      <font>
        <b/>
        <i/>
        <strike/>
        <outline/>
        <shadow/>
        <u val="none"/>
        <vertAlign val="baseline"/>
        <sz val="8"/>
        <color theme="1"/>
      </font>
      <alignment horizontal="right" vertical="bottom" textRotation="0" wrapText="0" indent="1" justifyLastLine="0" shrinkToFit="0" readingOrder="0"/>
    </dxf>
    <dxf>
      <font>
        <b/>
        <i val="0"/>
        <strike val="0"/>
        <condense/>
        <extend/>
        <outline/>
        <shadow/>
        <u val="none"/>
        <vertAlign val="baseline"/>
        <sz val="8"/>
        <color theme="1"/>
        <name val="Century Gothic"/>
        <scheme val="major"/>
      </font>
      <fill>
        <patternFill patternType="solid">
          <fgColor indexed="64"/>
          <bgColor theme="0" tint="-4.9989318521683403E-2"/>
        </patternFill>
      </fill>
      <alignment horizontal="left" vertical="bottom" textRotation="0" wrapText="0" indent="1" justifyLastLine="0" shrinkToFit="0" readingOrder="0"/>
    </dxf>
    <dxf>
      <font>
        <b/>
        <i/>
        <strike/>
        <outline/>
        <shadow/>
        <u val="none"/>
        <vertAlign val="baseline"/>
        <sz val="8"/>
        <color theme="1"/>
        <name val="Century Gothic"/>
        <scheme val="major"/>
      </font>
      <alignment horizontal="left" vertical="bottom" textRotation="0" wrapText="0" indent="1" justifyLastLine="0" shrinkToFit="0" readingOrder="0"/>
    </dxf>
    <dxf>
      <font>
        <strike/>
        <outline/>
        <shadow/>
        <u val="none"/>
        <vertAlign val="baseline"/>
        <sz val="8"/>
        <color theme="1"/>
        <name val="Century Gothic"/>
        <scheme val="major"/>
      </font>
    </dxf>
    <dxf>
      <font>
        <strike/>
        <outline/>
        <shadow/>
        <u val="none"/>
        <vertAlign val="baseline"/>
        <sz val="8"/>
        <color theme="1"/>
        <name val="Century Gothic"/>
        <scheme val="major"/>
      </font>
    </dxf>
    <dxf>
      <font>
        <strike/>
        <outline/>
        <shadow/>
        <u val="none"/>
        <vertAlign val="baseline"/>
        <sz val="9"/>
        <color theme="1"/>
        <name val="Century Gothic"/>
        <scheme val="major"/>
      </font>
    </dxf>
    <dxf>
      <fill>
        <patternFill>
          <bgColor theme="0" tint="-4.9989318521683403E-2"/>
        </patternFill>
      </fill>
    </dxf>
    <dxf>
      <fill>
        <patternFill>
          <bgColor theme="0" tint="-4.9989318521683403E-2"/>
        </patternFill>
      </fill>
    </dxf>
    <dxf>
      <font>
        <b/>
        <i val="0"/>
        <color theme="1"/>
      </font>
      <fill>
        <patternFill patternType="none">
          <bgColor auto="1"/>
        </patternFill>
      </fill>
      <border>
        <left/>
        <right/>
        <top style="thin">
          <color theme="0" tint="-0.14996795556505021"/>
        </top>
        <bottom style="thin">
          <color theme="1" tint="0.499984740745262"/>
        </bottom>
        <vertical style="thin">
          <color theme="0" tint="-0.14996795556505021"/>
        </vertical>
        <horizontal/>
      </border>
    </dxf>
    <dxf>
      <font>
        <b/>
        <i val="0"/>
        <color theme="1"/>
      </font>
      <fill>
        <patternFill patternType="none">
          <bgColor auto="1"/>
        </patternFill>
      </fill>
      <border>
        <left/>
        <right/>
        <top style="thin">
          <color theme="1" tint="0.499984740745262"/>
        </top>
        <bottom style="thin">
          <color theme="0" tint="-0.14996795556505021"/>
        </bottom>
        <vertical/>
        <horizontal/>
      </border>
    </dxf>
    <dxf>
      <font>
        <b val="0"/>
        <i val="0"/>
        <color theme="1"/>
      </font>
      <fill>
        <patternFill patternType="none">
          <bgColor auto="1"/>
        </patternFill>
      </fill>
      <border diagonalUp="0" diagonalDown="0">
        <left/>
        <right/>
        <top/>
        <bottom/>
        <vertical style="thin">
          <color theme="0" tint="-0.14996795556505021"/>
        </vertical>
        <horizontal/>
      </border>
    </dxf>
    <dxf>
      <font>
        <b/>
        <color theme="1"/>
      </font>
      <border>
        <bottom style="thin">
          <color theme="9"/>
        </bottom>
        <vertical/>
        <horizontal/>
      </border>
    </dxf>
    <dxf>
      <font>
        <color theme="1"/>
      </font>
      <border>
        <left/>
        <right/>
        <top/>
        <bottom/>
        <vertical/>
        <horizontal/>
      </border>
    </dxf>
  </dxfs>
  <tableStyles count="2" defaultTableStyle="Summary Table" defaultPivotStyle="PivotStyleLight16">
    <tableStyle name="styleCustomSlicer" pivot="0" table="0" count="10">
      <tableStyleElement type="wholeTable" dxfId="173"/>
      <tableStyleElement type="headerRow" dxfId="172"/>
    </tableStyle>
    <tableStyle name="Summary Table" pivot="0" count="5">
      <tableStyleElement type="wholeTable" dxfId="171"/>
      <tableStyleElement type="headerRow" dxfId="170"/>
      <tableStyleElement type="totalRow" dxfId="169"/>
      <tableStyleElement type="firstColumn" dxfId="168"/>
      <tableStyleElement type="firstColumnStripe" dxfId="16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tyleCustom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0846286529685804E-2"/>
          <c:y val="3.7210342265680076E-2"/>
          <c:w val="0.78649224115488003"/>
          <c:h val="0.93081834948977171"/>
        </c:manualLayout>
      </c:layout>
      <c:barChart>
        <c:barDir val="col"/>
        <c:grouping val="clustered"/>
        <c:varyColors val="0"/>
        <c:ser>
          <c:idx val="0"/>
          <c:order val="0"/>
          <c:tx>
            <c:strRef>
              <c:f>riepilogo!$B$19</c:f>
              <c:strCache>
                <c:ptCount val="1"/>
                <c:pt idx="0">
                  <c:v>Spesa 1</c:v>
                </c:pt>
              </c:strCache>
            </c:strRef>
          </c:tx>
          <c:spPr>
            <a:solidFill>
              <a:schemeClr val="tx1">
                <a:lumMod val="50000"/>
                <a:lumOff val="50000"/>
              </a:schemeClr>
            </a:solidFill>
            <a:ln>
              <a:noFill/>
            </a:ln>
          </c:spPr>
          <c:invertIfNegative val="0"/>
          <c:val>
            <c:numRef>
              <c:f>riepilogo!$C$19:$N$19</c:f>
              <c:numCache>
                <c:formatCode>#,##0.00</c:formatCode>
                <c:ptCount val="12"/>
                <c:pt idx="0">
                  <c:v>33</c:v>
                </c:pt>
                <c:pt idx="1">
                  <c:v>375</c:v>
                </c:pt>
                <c:pt idx="2">
                  <c:v>33</c:v>
                </c:pt>
                <c:pt idx="3">
                  <c:v>45</c:v>
                </c:pt>
                <c:pt idx="4">
                  <c:v>375</c:v>
                </c:pt>
                <c:pt idx="5">
                  <c:v>201</c:v>
                </c:pt>
                <c:pt idx="6">
                  <c:v>0</c:v>
                </c:pt>
                <c:pt idx="7">
                  <c:v>0</c:v>
                </c:pt>
                <c:pt idx="8">
                  <c:v>0</c:v>
                </c:pt>
                <c:pt idx="9">
                  <c:v>0</c:v>
                </c:pt>
                <c:pt idx="10">
                  <c:v>0</c:v>
                </c:pt>
                <c:pt idx="11">
                  <c:v>201</c:v>
                </c:pt>
              </c:numCache>
            </c:numRef>
          </c:val>
        </c:ser>
        <c:ser>
          <c:idx val="1"/>
          <c:order val="1"/>
          <c:tx>
            <c:strRef>
              <c:f>riepilogo!$B$20</c:f>
              <c:strCache>
                <c:ptCount val="1"/>
                <c:pt idx="0">
                  <c:v>Spesa 2</c:v>
                </c:pt>
              </c:strCache>
            </c:strRef>
          </c:tx>
          <c:spPr>
            <a:solidFill>
              <a:schemeClr val="accent1"/>
            </a:solidFill>
            <a:ln>
              <a:noFill/>
            </a:ln>
          </c:spPr>
          <c:invertIfNegative val="0"/>
          <c:val>
            <c:numRef>
              <c:f>riepilogo!$C$20:$N$20</c:f>
              <c:numCache>
                <c:formatCode>#,##0.00</c:formatCode>
                <c:ptCount val="12"/>
                <c:pt idx="0">
                  <c:v>238</c:v>
                </c:pt>
                <c:pt idx="1">
                  <c:v>238</c:v>
                </c:pt>
                <c:pt idx="2">
                  <c:v>238</c:v>
                </c:pt>
                <c:pt idx="3">
                  <c:v>123</c:v>
                </c:pt>
                <c:pt idx="4">
                  <c:v>111</c:v>
                </c:pt>
                <c:pt idx="5">
                  <c:v>98</c:v>
                </c:pt>
                <c:pt idx="6">
                  <c:v>0</c:v>
                </c:pt>
                <c:pt idx="7">
                  <c:v>0</c:v>
                </c:pt>
                <c:pt idx="8">
                  <c:v>0</c:v>
                </c:pt>
                <c:pt idx="9">
                  <c:v>0</c:v>
                </c:pt>
                <c:pt idx="10">
                  <c:v>0</c:v>
                </c:pt>
                <c:pt idx="11">
                  <c:v>440</c:v>
                </c:pt>
              </c:numCache>
            </c:numRef>
          </c:val>
        </c:ser>
        <c:ser>
          <c:idx val="2"/>
          <c:order val="2"/>
          <c:tx>
            <c:strRef>
              <c:f>riepilogo!$B$21</c:f>
              <c:strCache>
                <c:ptCount val="1"/>
                <c:pt idx="0">
                  <c:v>Spesa 3</c:v>
                </c:pt>
              </c:strCache>
            </c:strRef>
          </c:tx>
          <c:spPr>
            <a:solidFill>
              <a:schemeClr val="accent2"/>
            </a:solidFill>
            <a:ln>
              <a:noFill/>
            </a:ln>
          </c:spPr>
          <c:invertIfNegative val="0"/>
          <c:val>
            <c:numRef>
              <c:f>riepilogo!$C$21:$N$21</c:f>
              <c:numCache>
                <c:formatCode>#,##0.00</c:formatCode>
                <c:ptCount val="12"/>
                <c:pt idx="0">
                  <c:v>110</c:v>
                </c:pt>
                <c:pt idx="1">
                  <c:v>110</c:v>
                </c:pt>
                <c:pt idx="2">
                  <c:v>110</c:v>
                </c:pt>
                <c:pt idx="3">
                  <c:v>125</c:v>
                </c:pt>
                <c:pt idx="4">
                  <c:v>333</c:v>
                </c:pt>
                <c:pt idx="5">
                  <c:v>122</c:v>
                </c:pt>
                <c:pt idx="6">
                  <c:v>0</c:v>
                </c:pt>
                <c:pt idx="7">
                  <c:v>0</c:v>
                </c:pt>
                <c:pt idx="8">
                  <c:v>0</c:v>
                </c:pt>
                <c:pt idx="9">
                  <c:v>0</c:v>
                </c:pt>
                <c:pt idx="10">
                  <c:v>0</c:v>
                </c:pt>
                <c:pt idx="11">
                  <c:v>122</c:v>
                </c:pt>
              </c:numCache>
            </c:numRef>
          </c:val>
        </c:ser>
        <c:ser>
          <c:idx val="3"/>
          <c:order val="3"/>
          <c:tx>
            <c:strRef>
              <c:f>riepilogo!$B$22</c:f>
              <c:strCache>
                <c:ptCount val="1"/>
                <c:pt idx="0">
                  <c:v>Spesa 4</c:v>
                </c:pt>
              </c:strCache>
            </c:strRef>
          </c:tx>
          <c:spPr>
            <a:solidFill>
              <a:schemeClr val="accent3"/>
            </a:solidFill>
            <a:ln>
              <a:noFill/>
            </a:ln>
          </c:spPr>
          <c:invertIfNegative val="0"/>
          <c:val>
            <c:numRef>
              <c:f>riepilogo!$C$22:$N$22</c:f>
              <c:numCache>
                <c:formatCode>#,##0.00</c:formatCode>
                <c:ptCount val="12"/>
                <c:pt idx="0">
                  <c:v>426</c:v>
                </c:pt>
                <c:pt idx="1">
                  <c:v>84</c:v>
                </c:pt>
                <c:pt idx="2">
                  <c:v>84</c:v>
                </c:pt>
                <c:pt idx="3">
                  <c:v>426</c:v>
                </c:pt>
                <c:pt idx="4">
                  <c:v>125</c:v>
                </c:pt>
                <c:pt idx="5">
                  <c:v>187</c:v>
                </c:pt>
                <c:pt idx="6">
                  <c:v>0</c:v>
                </c:pt>
                <c:pt idx="7">
                  <c:v>0</c:v>
                </c:pt>
                <c:pt idx="8">
                  <c:v>0</c:v>
                </c:pt>
                <c:pt idx="9">
                  <c:v>0</c:v>
                </c:pt>
                <c:pt idx="10">
                  <c:v>0</c:v>
                </c:pt>
                <c:pt idx="11">
                  <c:v>187</c:v>
                </c:pt>
              </c:numCache>
            </c:numRef>
          </c:val>
        </c:ser>
        <c:ser>
          <c:idx val="4"/>
          <c:order val="4"/>
          <c:tx>
            <c:strRef>
              <c:f>riepilogo!$B$23</c:f>
              <c:strCache>
                <c:ptCount val="1"/>
                <c:pt idx="0">
                  <c:v>Spesa 5</c:v>
                </c:pt>
              </c:strCache>
            </c:strRef>
          </c:tx>
          <c:spPr>
            <a:solidFill>
              <a:schemeClr val="accent4"/>
            </a:solidFill>
            <a:ln>
              <a:noFill/>
            </a:ln>
          </c:spPr>
          <c:invertIfNegative val="0"/>
          <c:val>
            <c:numRef>
              <c:f>riepilogo!$C$23:$N$23</c:f>
              <c:numCache>
                <c:formatCode>#,##0.00</c:formatCode>
                <c:ptCount val="12"/>
                <c:pt idx="0">
                  <c:v>54</c:v>
                </c:pt>
                <c:pt idx="1">
                  <c:v>54</c:v>
                </c:pt>
                <c:pt idx="2">
                  <c:v>109</c:v>
                </c:pt>
                <c:pt idx="3">
                  <c:v>98</c:v>
                </c:pt>
                <c:pt idx="4">
                  <c:v>33</c:v>
                </c:pt>
                <c:pt idx="5">
                  <c:v>441</c:v>
                </c:pt>
                <c:pt idx="6">
                  <c:v>0</c:v>
                </c:pt>
                <c:pt idx="7">
                  <c:v>0</c:v>
                </c:pt>
                <c:pt idx="8">
                  <c:v>0</c:v>
                </c:pt>
                <c:pt idx="9">
                  <c:v>0</c:v>
                </c:pt>
                <c:pt idx="10">
                  <c:v>0</c:v>
                </c:pt>
                <c:pt idx="11">
                  <c:v>99</c:v>
                </c:pt>
              </c:numCache>
            </c:numRef>
          </c:val>
        </c:ser>
        <c:dLbls>
          <c:showLegendKey val="0"/>
          <c:showVal val="0"/>
          <c:showCatName val="0"/>
          <c:showSerName val="0"/>
          <c:showPercent val="0"/>
          <c:showBubbleSize val="0"/>
        </c:dLbls>
        <c:gapWidth val="150"/>
        <c:axId val="243133968"/>
        <c:axId val="243134528"/>
      </c:barChart>
      <c:catAx>
        <c:axId val="243133968"/>
        <c:scaling>
          <c:orientation val="minMax"/>
        </c:scaling>
        <c:delete val="1"/>
        <c:axPos val="b"/>
        <c:majorGridlines>
          <c:spPr>
            <a:ln>
              <a:solidFill>
                <a:schemeClr val="bg1">
                  <a:lumMod val="85000"/>
                </a:schemeClr>
              </a:solidFill>
            </a:ln>
          </c:spPr>
        </c:majorGridlines>
        <c:numFmt formatCode="General" sourceLinked="0"/>
        <c:majorTickMark val="out"/>
        <c:minorTickMark val="none"/>
        <c:tickLblPos val="nextTo"/>
        <c:crossAx val="243134528"/>
        <c:crosses val="autoZero"/>
        <c:auto val="1"/>
        <c:lblAlgn val="ctr"/>
        <c:lblOffset val="100"/>
        <c:noMultiLvlLbl val="0"/>
      </c:catAx>
      <c:valAx>
        <c:axId val="243134528"/>
        <c:scaling>
          <c:orientation val="minMax"/>
        </c:scaling>
        <c:delete val="0"/>
        <c:axPos val="l"/>
        <c:majorGridlines>
          <c:spPr>
            <a:ln>
              <a:solidFill>
                <a:schemeClr val="bg1">
                  <a:lumMod val="85000"/>
                  <a:alpha val="30000"/>
                </a:schemeClr>
              </a:solidFill>
            </a:ln>
          </c:spPr>
        </c:majorGridlines>
        <c:numFmt formatCode="#,##0;;" sourceLinked="0"/>
        <c:majorTickMark val="none"/>
        <c:minorTickMark val="none"/>
        <c:tickLblPos val="nextTo"/>
        <c:spPr>
          <a:ln>
            <a:solidFill>
              <a:schemeClr val="bg1">
                <a:lumMod val="85000"/>
              </a:schemeClr>
            </a:solidFill>
          </a:ln>
        </c:spPr>
        <c:txPr>
          <a:bodyPr/>
          <a:lstStyle/>
          <a:p>
            <a:pPr>
              <a:defRPr sz="1000">
                <a:solidFill>
                  <a:schemeClr val="tx1">
                    <a:lumMod val="65000"/>
                    <a:lumOff val="35000"/>
                  </a:schemeClr>
                </a:solidFill>
              </a:defRPr>
            </a:pPr>
            <a:endParaRPr lang="it-IT"/>
          </a:p>
        </c:txPr>
        <c:crossAx val="243133968"/>
        <c:crosses val="autoZero"/>
        <c:crossBetween val="between"/>
      </c:valAx>
      <c:spPr>
        <a:noFill/>
      </c:spPr>
    </c:plotArea>
    <c:legend>
      <c:legendPos val="r"/>
      <c:layout>
        <c:manualLayout>
          <c:xMode val="edge"/>
          <c:yMode val="edge"/>
          <c:x val="0.86509549453379753"/>
          <c:y val="1.0835550036099787E-2"/>
          <c:w val="8.0902571358686226E-2"/>
          <c:h val="0.41742506159794984"/>
        </c:manualLayout>
      </c:layout>
      <c:overlay val="0"/>
      <c:txPr>
        <a:bodyPr/>
        <a:lstStyle/>
        <a:p>
          <a:pPr>
            <a:defRPr sz="980" kern="0" spc="-10" baseline="0">
              <a:solidFill>
                <a:schemeClr val="tx1"/>
              </a:solidFill>
              <a:latin typeface="+mj-lt"/>
            </a:defRPr>
          </a:pPr>
          <a:endParaRPr lang="it-IT"/>
        </a:p>
      </c:txPr>
    </c:legend>
    <c:plotVisOnly val="1"/>
    <c:dispBlanksAs val="gap"/>
    <c:showDLblsOverMax val="0"/>
  </c:chart>
  <c:spPr>
    <a:no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hyperlink" Target="#riepilogo!A1"/></Relationships>
</file>

<file path=xl/drawings/_rels/drawing2.xml.rels><?xml version="1.0" encoding="UTF-8" standalone="yes"?>
<Relationships xmlns="http://schemas.openxmlformats.org/package/2006/relationships"><Relationship Id="rId8" Type="http://schemas.openxmlformats.org/officeDocument/2006/relationships/hyperlink" Target="#lug!A1"/><Relationship Id="rId13" Type="http://schemas.openxmlformats.org/officeDocument/2006/relationships/hyperlink" Target="#feb!A1"/><Relationship Id="rId3" Type="http://schemas.openxmlformats.org/officeDocument/2006/relationships/hyperlink" Target="#dic!A1"/><Relationship Id="rId7" Type="http://schemas.openxmlformats.org/officeDocument/2006/relationships/hyperlink" Target="#ago!A1"/><Relationship Id="rId12" Type="http://schemas.openxmlformats.org/officeDocument/2006/relationships/hyperlink" Target="#mar!A1"/><Relationship Id="rId2" Type="http://schemas.openxmlformats.org/officeDocument/2006/relationships/hyperlink" Target="#suggerimenti!A1"/><Relationship Id="rId1" Type="http://schemas.openxmlformats.org/officeDocument/2006/relationships/chart" Target="../charts/chart1.xml"/><Relationship Id="rId6" Type="http://schemas.openxmlformats.org/officeDocument/2006/relationships/hyperlink" Target="#set!A1"/><Relationship Id="rId11" Type="http://schemas.openxmlformats.org/officeDocument/2006/relationships/hyperlink" Target="#apr!A1"/><Relationship Id="rId5" Type="http://schemas.openxmlformats.org/officeDocument/2006/relationships/hyperlink" Target="#ott!A1"/><Relationship Id="rId10" Type="http://schemas.openxmlformats.org/officeDocument/2006/relationships/hyperlink" Target="#mag!A1"/><Relationship Id="rId4" Type="http://schemas.openxmlformats.org/officeDocument/2006/relationships/hyperlink" Target="#nov!A1"/><Relationship Id="rId9" Type="http://schemas.openxmlformats.org/officeDocument/2006/relationships/hyperlink" Target="#giu!A1"/><Relationship Id="rId14" Type="http://schemas.openxmlformats.org/officeDocument/2006/relationships/hyperlink" Target="#gen!A1"/></Relationships>
</file>

<file path=xl/drawings/_rels/drawing3.xml.rels><?xml version="1.0" encoding="UTF-8" standalone="yes"?>
<Relationships xmlns="http://schemas.openxmlformats.org/package/2006/relationships"><Relationship Id="rId1" Type="http://schemas.openxmlformats.org/officeDocument/2006/relationships/hyperlink" Target="#riepilogo!A1"/></Relationships>
</file>

<file path=xl/drawings/_rels/drawing4.xml.rels><?xml version="1.0" encoding="UTF-8" standalone="yes"?>
<Relationships xmlns="http://schemas.openxmlformats.org/package/2006/relationships"><Relationship Id="rId1" Type="http://schemas.openxmlformats.org/officeDocument/2006/relationships/hyperlink" Target="#riepilogo!A1"/></Relationships>
</file>

<file path=xl/drawings/_rels/drawing5.xml.rels><?xml version="1.0" encoding="UTF-8" standalone="yes"?>
<Relationships xmlns="http://schemas.openxmlformats.org/package/2006/relationships"><Relationship Id="rId1" Type="http://schemas.openxmlformats.org/officeDocument/2006/relationships/hyperlink" Target="#riepilogo!A1"/></Relationships>
</file>

<file path=xl/drawings/_rels/drawing6.xml.rels><?xml version="1.0" encoding="UTF-8" standalone="yes"?>
<Relationships xmlns="http://schemas.openxmlformats.org/package/2006/relationships"><Relationship Id="rId1" Type="http://schemas.openxmlformats.org/officeDocument/2006/relationships/hyperlink" Target="#riepilogo!A1"/></Relationships>
</file>

<file path=xl/drawings/_rels/drawing7.xml.rels><?xml version="1.0" encoding="UTF-8" standalone="yes"?>
<Relationships xmlns="http://schemas.openxmlformats.org/package/2006/relationships"><Relationship Id="rId1" Type="http://schemas.openxmlformats.org/officeDocument/2006/relationships/hyperlink" Target="#riepilogo!A1"/></Relationships>
</file>

<file path=xl/drawings/_rels/drawing8.xml.rels><?xml version="1.0" encoding="UTF-8" standalone="yes"?>
<Relationships xmlns="http://schemas.openxmlformats.org/package/2006/relationships"><Relationship Id="rId1" Type="http://schemas.openxmlformats.org/officeDocument/2006/relationships/hyperlink" Target="#riepilogo!A1"/></Relationships>
</file>

<file path=xl/drawings/_rels/drawing9.xml.rels><?xml version="1.0" encoding="UTF-8" standalone="yes"?>
<Relationships xmlns="http://schemas.openxmlformats.org/package/2006/relationships"><Relationship Id="rId1" Type="http://schemas.openxmlformats.org/officeDocument/2006/relationships/hyperlink" Target="#riepilogo!A1"/></Relationships>
</file>

<file path=xl/drawings/_rels/drawing10.xml.rels><?xml version="1.0" encoding="UTF-8" standalone="yes"?>
<Relationships xmlns="http://schemas.openxmlformats.org/package/2006/relationships"><Relationship Id="rId1" Type="http://schemas.openxmlformats.org/officeDocument/2006/relationships/hyperlink" Target="#riepilogo!A1"/></Relationships>
</file>

<file path=xl/drawings/_rels/drawing11.xml.rels><?xml version="1.0" encoding="UTF-8" standalone="yes"?>
<Relationships xmlns="http://schemas.openxmlformats.org/package/2006/relationships"><Relationship Id="rId1" Type="http://schemas.openxmlformats.org/officeDocument/2006/relationships/hyperlink" Target="#riepilogo!A1"/></Relationships>
</file>

<file path=xl/drawings/_rels/drawing12.xml.rels><?xml version="1.0" encoding="UTF-8" standalone="yes"?>
<Relationships xmlns="http://schemas.openxmlformats.org/package/2006/relationships"><Relationship Id="rId1" Type="http://schemas.openxmlformats.org/officeDocument/2006/relationships/hyperlink" Target="#riepilogo!A1"/></Relationships>
</file>

<file path=xl/drawings/_rels/drawing13.xml.rels><?xml version="1.0" encoding="UTF-8" standalone="yes"?>
<Relationships xmlns="http://schemas.openxmlformats.org/package/2006/relationships"><Relationship Id="rId1" Type="http://schemas.openxmlformats.org/officeDocument/2006/relationships/hyperlink" Target="#riepilogo!A1"/></Relationships>
</file>

<file path=xl/drawings/_rels/drawing14.xml.rels><?xml version="1.0" encoding="UTF-8" standalone="yes"?>
<Relationships xmlns="http://schemas.openxmlformats.org/package/2006/relationships"><Relationship Id="rId1" Type="http://schemas.openxmlformats.org/officeDocument/2006/relationships/hyperlink" Target="#riepilogo!A1"/></Relationships>
</file>

<file path=xl/drawings/drawing1.xml><?xml version="1.0" encoding="utf-8"?>
<xdr:wsDr xmlns:xdr="http://schemas.openxmlformats.org/drawingml/2006/spreadsheetDrawing" xmlns:a="http://schemas.openxmlformats.org/drawingml/2006/main">
  <xdr:twoCellAnchor>
    <xdr:from>
      <xdr:col>11</xdr:col>
      <xdr:colOff>73053</xdr:colOff>
      <xdr:row>1</xdr:row>
      <xdr:rowOff>58208</xdr:rowOff>
    </xdr:from>
    <xdr:to>
      <xdr:col>13</xdr:col>
      <xdr:colOff>5320</xdr:colOff>
      <xdr:row>1</xdr:row>
      <xdr:rowOff>334433</xdr:rowOff>
    </xdr:to>
    <xdr:sp macro="" textlink="">
      <xdr:nvSpPr>
        <xdr:cNvPr id="2" name="plsRiepilogo" descr="Fare clic per visualizzare il foglio Riepilogo spese" title="Riepilogo">
          <a:hlinkClick xmlns:r="http://schemas.openxmlformats.org/officeDocument/2006/relationships" r:id="rId1" tooltip="Click to view Expense Summary"/>
        </xdr:cNvPr>
        <xdr:cNvSpPr/>
      </xdr:nvSpPr>
      <xdr:spPr>
        <a:xfrm>
          <a:off x="5110720" y="238125"/>
          <a:ext cx="1371600" cy="276225"/>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Riepilogo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1</xdr:col>
      <xdr:colOff>371477</xdr:colOff>
      <xdr:row>4</xdr:row>
      <xdr:rowOff>95250</xdr:rowOff>
    </xdr:from>
    <xdr:to>
      <xdr:col>15</xdr:col>
      <xdr:colOff>647701</xdr:colOff>
      <xdr:row>17</xdr:row>
      <xdr:rowOff>42861</xdr:rowOff>
    </xdr:to>
    <xdr:graphicFrame macro="">
      <xdr:nvGraphicFramePr>
        <xdr:cNvPr id="2" name="TendenzeDiSpesa" descr="Istogramma che mostra le spese mensile suddivise per categoria." title="Grafico Trend di spes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114300</xdr:colOff>
      <xdr:row>3</xdr:row>
      <xdr:rowOff>47625</xdr:rowOff>
    </xdr:from>
    <xdr:to>
      <xdr:col>15</xdr:col>
      <xdr:colOff>600075</xdr:colOff>
      <xdr:row>4</xdr:row>
      <xdr:rowOff>66675</xdr:rowOff>
    </xdr:to>
    <xdr:sp macro="" textlink="">
      <xdr:nvSpPr>
        <xdr:cNvPr id="19" name="plsSuggerimenti" descr="Fare clic su questa forma per selezionare il foglio di lavoro Suggerimenti modello." title="Pulsante di spostamento a Suggerimenti">
          <a:hlinkClick xmlns:r="http://schemas.openxmlformats.org/officeDocument/2006/relationships" r:id="rId2" tooltip="Click to view Template Tips"/>
        </xdr:cNvPr>
        <xdr:cNvSpPr/>
      </xdr:nvSpPr>
      <xdr:spPr>
        <a:xfrm>
          <a:off x="9544050" y="866775"/>
          <a:ext cx="1238250" cy="228600"/>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Suggerimenti</a:t>
          </a:r>
        </a:p>
      </xdr:txBody>
    </xdr:sp>
    <xdr:clientData fPrintsWithSheet="0"/>
  </xdr:twoCellAnchor>
  <xdr:twoCellAnchor>
    <xdr:from>
      <xdr:col>13</xdr:col>
      <xdr:colOff>0</xdr:colOff>
      <xdr:row>3</xdr:row>
      <xdr:rowOff>47625</xdr:rowOff>
    </xdr:from>
    <xdr:to>
      <xdr:col>13</xdr:col>
      <xdr:colOff>640080</xdr:colOff>
      <xdr:row>4</xdr:row>
      <xdr:rowOff>66675</xdr:rowOff>
    </xdr:to>
    <xdr:sp macro="" textlink="">
      <xdr:nvSpPr>
        <xdr:cNvPr id="20" name="plsDic" descr="Fare clic per visualizzare il foglio di lavoro delle spese di dicembre." title="Pulsante di spostamento a dicembre">
          <a:hlinkClick xmlns:r="http://schemas.openxmlformats.org/officeDocument/2006/relationships" r:id="rId3" tooltip="Fare clic per visualizzare il foglio di lavoro delle spese di dicembre"/>
        </xdr:cNvPr>
        <xdr:cNvSpPr/>
      </xdr:nvSpPr>
      <xdr:spPr>
        <a:xfrm>
          <a:off x="8782050" y="866775"/>
          <a:ext cx="640080" cy="228600"/>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Dic</a:t>
          </a:r>
        </a:p>
      </xdr:txBody>
    </xdr:sp>
    <xdr:clientData/>
  </xdr:twoCellAnchor>
  <xdr:twoCellAnchor>
    <xdr:from>
      <xdr:col>12</xdr:col>
      <xdr:colOff>0</xdr:colOff>
      <xdr:row>3</xdr:row>
      <xdr:rowOff>47625</xdr:rowOff>
    </xdr:from>
    <xdr:to>
      <xdr:col>12</xdr:col>
      <xdr:colOff>640080</xdr:colOff>
      <xdr:row>4</xdr:row>
      <xdr:rowOff>66675</xdr:rowOff>
    </xdr:to>
    <xdr:sp macro="" textlink="">
      <xdr:nvSpPr>
        <xdr:cNvPr id="22" name="plsNov" descr="Fare clic per visualizzare il foglio di lavoro delle spese di novembre." title="Pulsante di spostamento a novembre">
          <a:hlinkClick xmlns:r="http://schemas.openxmlformats.org/officeDocument/2006/relationships" r:id="rId4" tooltip="Fare clic per visualizzare il foglio di lavoro delle spese di novembre"/>
        </xdr:cNvPr>
        <xdr:cNvSpPr/>
      </xdr:nvSpPr>
      <xdr:spPr>
        <a:xfrm>
          <a:off x="8134350" y="866775"/>
          <a:ext cx="640080" cy="228600"/>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Nov</a:t>
          </a:r>
        </a:p>
      </xdr:txBody>
    </xdr:sp>
    <xdr:clientData/>
  </xdr:twoCellAnchor>
  <xdr:twoCellAnchor>
    <xdr:from>
      <xdr:col>11</xdr:col>
      <xdr:colOff>0</xdr:colOff>
      <xdr:row>3</xdr:row>
      <xdr:rowOff>47625</xdr:rowOff>
    </xdr:from>
    <xdr:to>
      <xdr:col>11</xdr:col>
      <xdr:colOff>640080</xdr:colOff>
      <xdr:row>4</xdr:row>
      <xdr:rowOff>66675</xdr:rowOff>
    </xdr:to>
    <xdr:sp macro="" textlink="">
      <xdr:nvSpPr>
        <xdr:cNvPr id="25" name="plsOtt" descr="Fare clic per visualizzare il foglio di lavoro delle spese di ottobre." title="Pulsante di spostamento a ottobre">
          <a:hlinkClick xmlns:r="http://schemas.openxmlformats.org/officeDocument/2006/relationships" r:id="rId5" tooltip="Fare clic per visualizzare il foglio di lavoro delle spese di ottobre"/>
        </xdr:cNvPr>
        <xdr:cNvSpPr/>
      </xdr:nvSpPr>
      <xdr:spPr>
        <a:xfrm>
          <a:off x="7486650" y="866775"/>
          <a:ext cx="640080" cy="228600"/>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Ott</a:t>
          </a:r>
        </a:p>
      </xdr:txBody>
    </xdr:sp>
    <xdr:clientData/>
  </xdr:twoCellAnchor>
  <xdr:twoCellAnchor>
    <xdr:from>
      <xdr:col>10</xdr:col>
      <xdr:colOff>0</xdr:colOff>
      <xdr:row>3</xdr:row>
      <xdr:rowOff>47625</xdr:rowOff>
    </xdr:from>
    <xdr:to>
      <xdr:col>10</xdr:col>
      <xdr:colOff>640080</xdr:colOff>
      <xdr:row>4</xdr:row>
      <xdr:rowOff>66675</xdr:rowOff>
    </xdr:to>
    <xdr:sp macro="" textlink="">
      <xdr:nvSpPr>
        <xdr:cNvPr id="26" name="plsSet" descr="Fare clic per visualizzare il foglio di lavoro delle spese di settembre." title="Pulsante di spostamento a settembre">
          <a:hlinkClick xmlns:r="http://schemas.openxmlformats.org/officeDocument/2006/relationships" r:id="rId6" tooltip="Fare clic per visualizzare il foglio di lavoro delle spese di settembre"/>
        </xdr:cNvPr>
        <xdr:cNvSpPr/>
      </xdr:nvSpPr>
      <xdr:spPr>
        <a:xfrm>
          <a:off x="6838950" y="866775"/>
          <a:ext cx="640080" cy="228600"/>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Set</a:t>
          </a:r>
        </a:p>
      </xdr:txBody>
    </xdr:sp>
    <xdr:clientData/>
  </xdr:twoCellAnchor>
  <xdr:twoCellAnchor>
    <xdr:from>
      <xdr:col>9</xdr:col>
      <xdr:colOff>0</xdr:colOff>
      <xdr:row>3</xdr:row>
      <xdr:rowOff>47625</xdr:rowOff>
    </xdr:from>
    <xdr:to>
      <xdr:col>9</xdr:col>
      <xdr:colOff>640080</xdr:colOff>
      <xdr:row>4</xdr:row>
      <xdr:rowOff>66675</xdr:rowOff>
    </xdr:to>
    <xdr:sp macro="" textlink="">
      <xdr:nvSpPr>
        <xdr:cNvPr id="27" name="plsAgo" descr="Fare clic per visualizzare il foglio di lavoro delle spese di agosto." title="Pulsante di spostamento ad agosto">
          <a:hlinkClick xmlns:r="http://schemas.openxmlformats.org/officeDocument/2006/relationships" r:id="rId7" tooltip="Fare clic per visualizzare il foglio di lavoro delle spese di agosto"/>
        </xdr:cNvPr>
        <xdr:cNvSpPr/>
      </xdr:nvSpPr>
      <xdr:spPr>
        <a:xfrm>
          <a:off x="6191250" y="866775"/>
          <a:ext cx="640080" cy="228600"/>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Ago</a:t>
          </a:r>
        </a:p>
      </xdr:txBody>
    </xdr:sp>
    <xdr:clientData/>
  </xdr:twoCellAnchor>
  <xdr:twoCellAnchor>
    <xdr:from>
      <xdr:col>8</xdr:col>
      <xdr:colOff>0</xdr:colOff>
      <xdr:row>3</xdr:row>
      <xdr:rowOff>47625</xdr:rowOff>
    </xdr:from>
    <xdr:to>
      <xdr:col>8</xdr:col>
      <xdr:colOff>640080</xdr:colOff>
      <xdr:row>4</xdr:row>
      <xdr:rowOff>66675</xdr:rowOff>
    </xdr:to>
    <xdr:sp macro="" textlink="">
      <xdr:nvSpPr>
        <xdr:cNvPr id="28" name="plsLug" descr="Fare clic per visualizzare il foglio di lavoro delle spese di luglio." title="Pulsante di spostamento a luglio">
          <a:hlinkClick xmlns:r="http://schemas.openxmlformats.org/officeDocument/2006/relationships" r:id="rId8" tooltip="Fare clic per visualizzare il foglio di lavoro delle spese di luglio"/>
        </xdr:cNvPr>
        <xdr:cNvSpPr/>
      </xdr:nvSpPr>
      <xdr:spPr>
        <a:xfrm>
          <a:off x="5543550" y="866775"/>
          <a:ext cx="640080" cy="228600"/>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Lug</a:t>
          </a:r>
        </a:p>
      </xdr:txBody>
    </xdr:sp>
    <xdr:clientData/>
  </xdr:twoCellAnchor>
  <xdr:twoCellAnchor>
    <xdr:from>
      <xdr:col>7</xdr:col>
      <xdr:colOff>0</xdr:colOff>
      <xdr:row>3</xdr:row>
      <xdr:rowOff>47625</xdr:rowOff>
    </xdr:from>
    <xdr:to>
      <xdr:col>7</xdr:col>
      <xdr:colOff>640080</xdr:colOff>
      <xdr:row>4</xdr:row>
      <xdr:rowOff>66675</xdr:rowOff>
    </xdr:to>
    <xdr:sp macro="" textlink="">
      <xdr:nvSpPr>
        <xdr:cNvPr id="29" name="plsGiu" descr="Fare clic per visualizzare il foglio di lavoro delle spese di giugno." title="Pulsante di spostamento a giugno">
          <a:hlinkClick xmlns:r="http://schemas.openxmlformats.org/officeDocument/2006/relationships" r:id="rId9" tooltip="Fare clic per visualizzare il foglio di lavoro delle spese di giugno"/>
        </xdr:cNvPr>
        <xdr:cNvSpPr/>
      </xdr:nvSpPr>
      <xdr:spPr>
        <a:xfrm>
          <a:off x="4895850" y="866775"/>
          <a:ext cx="640080" cy="228600"/>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Giu</a:t>
          </a:r>
        </a:p>
      </xdr:txBody>
    </xdr:sp>
    <xdr:clientData/>
  </xdr:twoCellAnchor>
  <xdr:twoCellAnchor>
    <xdr:from>
      <xdr:col>6</xdr:col>
      <xdr:colOff>0</xdr:colOff>
      <xdr:row>3</xdr:row>
      <xdr:rowOff>47625</xdr:rowOff>
    </xdr:from>
    <xdr:to>
      <xdr:col>6</xdr:col>
      <xdr:colOff>640080</xdr:colOff>
      <xdr:row>4</xdr:row>
      <xdr:rowOff>66675</xdr:rowOff>
    </xdr:to>
    <xdr:sp macro="" textlink="">
      <xdr:nvSpPr>
        <xdr:cNvPr id="30" name="plsMag" descr="Fare clic per visualizzare il foglio di lavoro delle spese di maggio." title="Pulsante di spostamento a maggio">
          <a:hlinkClick xmlns:r="http://schemas.openxmlformats.org/officeDocument/2006/relationships" r:id="rId10" tooltip="Fare clic per visualizzare il foglio di lavoro delle spese di maggio"/>
        </xdr:cNvPr>
        <xdr:cNvSpPr/>
      </xdr:nvSpPr>
      <xdr:spPr>
        <a:xfrm>
          <a:off x="4248150" y="866775"/>
          <a:ext cx="640080" cy="228600"/>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Mag</a:t>
          </a:r>
        </a:p>
      </xdr:txBody>
    </xdr:sp>
    <xdr:clientData/>
  </xdr:twoCellAnchor>
  <xdr:twoCellAnchor>
    <xdr:from>
      <xdr:col>5</xdr:col>
      <xdr:colOff>0</xdr:colOff>
      <xdr:row>3</xdr:row>
      <xdr:rowOff>47625</xdr:rowOff>
    </xdr:from>
    <xdr:to>
      <xdr:col>5</xdr:col>
      <xdr:colOff>640080</xdr:colOff>
      <xdr:row>4</xdr:row>
      <xdr:rowOff>66675</xdr:rowOff>
    </xdr:to>
    <xdr:sp macro="" textlink="">
      <xdr:nvSpPr>
        <xdr:cNvPr id="31" name="plsApr" descr="Fare clic per visualizzare il foglio di lavoro delle spese di aprile." title="Pulsante di spostamento ad aprile">
          <a:hlinkClick xmlns:r="http://schemas.openxmlformats.org/officeDocument/2006/relationships" r:id="rId11" tooltip="Fare clic per visualizzare il foglio di lavoro delle spese di aprile"/>
        </xdr:cNvPr>
        <xdr:cNvSpPr/>
      </xdr:nvSpPr>
      <xdr:spPr>
        <a:xfrm>
          <a:off x="3600450" y="866775"/>
          <a:ext cx="640080" cy="228600"/>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Apr</a:t>
          </a:r>
        </a:p>
      </xdr:txBody>
    </xdr:sp>
    <xdr:clientData/>
  </xdr:twoCellAnchor>
  <xdr:twoCellAnchor>
    <xdr:from>
      <xdr:col>4</xdr:col>
      <xdr:colOff>0</xdr:colOff>
      <xdr:row>3</xdr:row>
      <xdr:rowOff>47625</xdr:rowOff>
    </xdr:from>
    <xdr:to>
      <xdr:col>4</xdr:col>
      <xdr:colOff>640080</xdr:colOff>
      <xdr:row>4</xdr:row>
      <xdr:rowOff>66675</xdr:rowOff>
    </xdr:to>
    <xdr:sp macro="" textlink="">
      <xdr:nvSpPr>
        <xdr:cNvPr id="32" name="plsMar" descr="Fare clic per visualizzare il foglio di lavoro delle spese di marzo." title="Pulsante di spostamento a marzo">
          <a:hlinkClick xmlns:r="http://schemas.openxmlformats.org/officeDocument/2006/relationships" r:id="rId12" tooltip="Fare clic per visualizzare il foglio di lavoro delle spese di marzo"/>
        </xdr:cNvPr>
        <xdr:cNvSpPr/>
      </xdr:nvSpPr>
      <xdr:spPr>
        <a:xfrm>
          <a:off x="2952750" y="866775"/>
          <a:ext cx="640080" cy="228600"/>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Mar</a:t>
          </a:r>
        </a:p>
      </xdr:txBody>
    </xdr:sp>
    <xdr:clientData/>
  </xdr:twoCellAnchor>
  <xdr:twoCellAnchor>
    <xdr:from>
      <xdr:col>3</xdr:col>
      <xdr:colOff>0</xdr:colOff>
      <xdr:row>3</xdr:row>
      <xdr:rowOff>47625</xdr:rowOff>
    </xdr:from>
    <xdr:to>
      <xdr:col>3</xdr:col>
      <xdr:colOff>640080</xdr:colOff>
      <xdr:row>4</xdr:row>
      <xdr:rowOff>66675</xdr:rowOff>
    </xdr:to>
    <xdr:sp macro="" textlink="">
      <xdr:nvSpPr>
        <xdr:cNvPr id="33" name="plsFeb" descr="Fare clic per visualizzare il foglio di lavoro delle spese di febbraio." title="Pulsante di spostamento a febbraio">
          <a:hlinkClick xmlns:r="http://schemas.openxmlformats.org/officeDocument/2006/relationships" r:id="rId13" tooltip="Fare clic per visualizzare il foglio di lavoro delle spese di febbraio"/>
        </xdr:cNvPr>
        <xdr:cNvSpPr/>
      </xdr:nvSpPr>
      <xdr:spPr>
        <a:xfrm>
          <a:off x="2305050" y="866775"/>
          <a:ext cx="640080" cy="228600"/>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Feb</a:t>
          </a:r>
        </a:p>
      </xdr:txBody>
    </xdr:sp>
    <xdr:clientData/>
  </xdr:twoCellAnchor>
  <xdr:twoCellAnchor>
    <xdr:from>
      <xdr:col>2</xdr:col>
      <xdr:colOff>9525</xdr:colOff>
      <xdr:row>3</xdr:row>
      <xdr:rowOff>47625</xdr:rowOff>
    </xdr:from>
    <xdr:to>
      <xdr:col>2</xdr:col>
      <xdr:colOff>649605</xdr:colOff>
      <xdr:row>4</xdr:row>
      <xdr:rowOff>66675</xdr:rowOff>
    </xdr:to>
    <xdr:sp macro="" textlink="">
      <xdr:nvSpPr>
        <xdr:cNvPr id="34" name="plsGen" descr="Fare clic per visualizzare il foglio di lavoro delle spese di gennaio." title="Pulsante di spostamento a gennaio">
          <a:hlinkClick xmlns:r="http://schemas.openxmlformats.org/officeDocument/2006/relationships" r:id="rId14" tooltip="Fare clic per visualizzare il foglio di lavoro delle spese di gennaio"/>
        </xdr:cNvPr>
        <xdr:cNvSpPr/>
      </xdr:nvSpPr>
      <xdr:spPr>
        <a:xfrm>
          <a:off x="1657350" y="866775"/>
          <a:ext cx="640080" cy="228600"/>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Gen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1485900</xdr:colOff>
      <xdr:row>1</xdr:row>
      <xdr:rowOff>28575</xdr:rowOff>
    </xdr:from>
    <xdr:to>
      <xdr:col>6</xdr:col>
      <xdr:colOff>0</xdr:colOff>
      <xdr:row>1</xdr:row>
      <xdr:rowOff>304800</xdr:rowOff>
    </xdr:to>
    <xdr:sp macro="" textlink="">
      <xdr:nvSpPr>
        <xdr:cNvPr id="3" name="plsRiepilogo" descr="Fare clic su questa forma per selezionare il foglio di lavoro Riepilogo." title="Pulsante di spostamento a riepilogo">
          <a:hlinkClick xmlns:r="http://schemas.openxmlformats.org/officeDocument/2006/relationships" r:id="rId1" tooltip="Click to view Monthly Summary"/>
        </xdr:cNvPr>
        <xdr:cNvSpPr/>
      </xdr:nvSpPr>
      <xdr:spPr>
        <a:xfrm>
          <a:off x="5572125" y="238125"/>
          <a:ext cx="1371600" cy="276225"/>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Riepilogo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1485900</xdr:colOff>
      <xdr:row>1</xdr:row>
      <xdr:rowOff>28575</xdr:rowOff>
    </xdr:from>
    <xdr:to>
      <xdr:col>6</xdr:col>
      <xdr:colOff>0</xdr:colOff>
      <xdr:row>1</xdr:row>
      <xdr:rowOff>304800</xdr:rowOff>
    </xdr:to>
    <xdr:sp macro="" textlink="">
      <xdr:nvSpPr>
        <xdr:cNvPr id="3" name="plsRiepilogo" descr="Fare clic su questa forma per selezionare il foglio di lavoro Riepilogo." title="Pulsante di spostamento a riepilogo">
          <a:hlinkClick xmlns:r="http://schemas.openxmlformats.org/officeDocument/2006/relationships" r:id="rId1" tooltip="Click to view Monthly Summary"/>
        </xdr:cNvPr>
        <xdr:cNvSpPr/>
      </xdr:nvSpPr>
      <xdr:spPr>
        <a:xfrm>
          <a:off x="5572125" y="238125"/>
          <a:ext cx="1371600" cy="276225"/>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Riepilogo</a:t>
          </a: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xdr:from>
      <xdr:col>5</xdr:col>
      <xdr:colOff>1485900</xdr:colOff>
      <xdr:row>1</xdr:row>
      <xdr:rowOff>28575</xdr:rowOff>
    </xdr:from>
    <xdr:to>
      <xdr:col>6</xdr:col>
      <xdr:colOff>0</xdr:colOff>
      <xdr:row>1</xdr:row>
      <xdr:rowOff>304800</xdr:rowOff>
    </xdr:to>
    <xdr:sp macro="" textlink="">
      <xdr:nvSpPr>
        <xdr:cNvPr id="3" name="plsRiepilogo" descr="Fare clic su questa forma per selezionare il foglio di lavoro Riepilogo." title="Pulsante di spostamento a riepilogo">
          <a:hlinkClick xmlns:r="http://schemas.openxmlformats.org/officeDocument/2006/relationships" r:id="rId1" tooltip="Click to view Monthly Summary"/>
        </xdr:cNvPr>
        <xdr:cNvSpPr/>
      </xdr:nvSpPr>
      <xdr:spPr>
        <a:xfrm>
          <a:off x="5572125" y="238125"/>
          <a:ext cx="1371600" cy="276225"/>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Riepilogo</a:t>
          </a: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xdr:from>
      <xdr:col>5</xdr:col>
      <xdr:colOff>1485900</xdr:colOff>
      <xdr:row>1</xdr:row>
      <xdr:rowOff>28575</xdr:rowOff>
    </xdr:from>
    <xdr:to>
      <xdr:col>6</xdr:col>
      <xdr:colOff>0</xdr:colOff>
      <xdr:row>1</xdr:row>
      <xdr:rowOff>304800</xdr:rowOff>
    </xdr:to>
    <xdr:sp macro="" textlink="">
      <xdr:nvSpPr>
        <xdr:cNvPr id="3" name="plsRiepilogo" descr="Fare clic su questa forma per selezionare il foglio di lavoro Riepilogo." title="Pulsante di spostamento a riepilogo">
          <a:hlinkClick xmlns:r="http://schemas.openxmlformats.org/officeDocument/2006/relationships" r:id="rId1" tooltip="Click to view Monthly Summary"/>
        </xdr:cNvPr>
        <xdr:cNvSpPr/>
      </xdr:nvSpPr>
      <xdr:spPr>
        <a:xfrm>
          <a:off x="5572125" y="238125"/>
          <a:ext cx="1371600" cy="276225"/>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Riepilogo</a:t>
          </a:r>
          <a:endParaRPr lang="en-US" sz="1050">
            <a:effectLst/>
          </a:endParaRPr>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xdr:from>
      <xdr:col>5</xdr:col>
      <xdr:colOff>1485900</xdr:colOff>
      <xdr:row>1</xdr:row>
      <xdr:rowOff>28575</xdr:rowOff>
    </xdr:from>
    <xdr:to>
      <xdr:col>6</xdr:col>
      <xdr:colOff>0</xdr:colOff>
      <xdr:row>1</xdr:row>
      <xdr:rowOff>304800</xdr:rowOff>
    </xdr:to>
    <xdr:sp macro="" textlink="">
      <xdr:nvSpPr>
        <xdr:cNvPr id="3" name="plsRiepilogo" descr="Fare clic su questa forma per selezionare il foglio di lavoro Riepilogo." title="Pulsante di spostamento a riepilogo">
          <a:hlinkClick xmlns:r="http://schemas.openxmlformats.org/officeDocument/2006/relationships" r:id="rId1" tooltip="Click to view Monthly Summary"/>
        </xdr:cNvPr>
        <xdr:cNvSpPr/>
      </xdr:nvSpPr>
      <xdr:spPr>
        <a:xfrm>
          <a:off x="5572125" y="238125"/>
          <a:ext cx="1371600" cy="276225"/>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Riepilogo</a:t>
          </a:r>
          <a:endParaRPr lang="en-US" sz="1050">
            <a:effectLst/>
          </a:endParaRPr>
        </a:p>
      </xdr:txBody>
    </xdr:sp>
    <xdr:clientData fPrintsWithSheet="0"/>
  </xdr:twoCellAnchor>
</xdr:wsDr>
</file>

<file path=xl/drawings/drawing8.xml><?xml version="1.0" encoding="utf-8"?>
<xdr:wsDr xmlns:xdr="http://schemas.openxmlformats.org/drawingml/2006/spreadsheetDrawing" xmlns:a="http://schemas.openxmlformats.org/drawingml/2006/main">
  <xdr:twoCellAnchor>
    <xdr:from>
      <xdr:col>5</xdr:col>
      <xdr:colOff>1485900</xdr:colOff>
      <xdr:row>1</xdr:row>
      <xdr:rowOff>28575</xdr:rowOff>
    </xdr:from>
    <xdr:to>
      <xdr:col>6</xdr:col>
      <xdr:colOff>0</xdr:colOff>
      <xdr:row>1</xdr:row>
      <xdr:rowOff>304800</xdr:rowOff>
    </xdr:to>
    <xdr:sp macro="" textlink="">
      <xdr:nvSpPr>
        <xdr:cNvPr id="3" name="plsRiepilogo" descr="Fare clic su questa forma per selezionare il foglio di lavoro Riepilogo." title="Pulsante di spostamento a riepilogo">
          <a:hlinkClick xmlns:r="http://schemas.openxmlformats.org/officeDocument/2006/relationships" r:id="rId1" tooltip="Click to view Monthly Summary"/>
        </xdr:cNvPr>
        <xdr:cNvSpPr/>
      </xdr:nvSpPr>
      <xdr:spPr>
        <a:xfrm>
          <a:off x="5572125" y="238125"/>
          <a:ext cx="1371600" cy="276225"/>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Riepilogo</a:t>
          </a:r>
          <a:endParaRPr lang="en-US" sz="1050">
            <a:effectLst/>
          </a:endParaRPr>
        </a:p>
      </xdr:txBody>
    </xdr:sp>
    <xdr:clientData fPrintsWithSheet="0"/>
  </xdr:twoCellAnchor>
</xdr:wsDr>
</file>

<file path=xl/drawings/drawing9.xml><?xml version="1.0" encoding="utf-8"?>
<xdr:wsDr xmlns:xdr="http://schemas.openxmlformats.org/drawingml/2006/spreadsheetDrawing" xmlns:a="http://schemas.openxmlformats.org/drawingml/2006/main">
  <xdr:twoCellAnchor>
    <xdr:from>
      <xdr:col>5</xdr:col>
      <xdr:colOff>1485900</xdr:colOff>
      <xdr:row>1</xdr:row>
      <xdr:rowOff>28575</xdr:rowOff>
    </xdr:from>
    <xdr:to>
      <xdr:col>6</xdr:col>
      <xdr:colOff>0</xdr:colOff>
      <xdr:row>1</xdr:row>
      <xdr:rowOff>304800</xdr:rowOff>
    </xdr:to>
    <xdr:sp macro="" textlink="">
      <xdr:nvSpPr>
        <xdr:cNvPr id="3" name="plsRiepilogo" descr="Fare clic su questa forma per selezionare il foglio di lavoro Riepilogo." title="Pulsante di spostamento a riepilogo">
          <a:hlinkClick xmlns:r="http://schemas.openxmlformats.org/officeDocument/2006/relationships" r:id="rId1" tooltip="Click to view Monthly Summary"/>
        </xdr:cNvPr>
        <xdr:cNvSpPr/>
      </xdr:nvSpPr>
      <xdr:spPr>
        <a:xfrm>
          <a:off x="5572125" y="238125"/>
          <a:ext cx="1371600" cy="276225"/>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Riepilogo</a:t>
          </a:r>
        </a:p>
      </xdr:txBody>
    </xdr:sp>
    <xdr:clientData fPrintsWithSheet="0"/>
  </xdr:twoCellAnchor>
</xdr:wsDr>
</file>

<file path=xl/drawings/drawing10.xml><?xml version="1.0" encoding="utf-8"?>
<xdr:wsDr xmlns:xdr="http://schemas.openxmlformats.org/drawingml/2006/spreadsheetDrawing" xmlns:a="http://schemas.openxmlformats.org/drawingml/2006/main">
  <xdr:twoCellAnchor>
    <xdr:from>
      <xdr:col>5</xdr:col>
      <xdr:colOff>1485900</xdr:colOff>
      <xdr:row>1</xdr:row>
      <xdr:rowOff>28575</xdr:rowOff>
    </xdr:from>
    <xdr:to>
      <xdr:col>6</xdr:col>
      <xdr:colOff>0</xdr:colOff>
      <xdr:row>1</xdr:row>
      <xdr:rowOff>304800</xdr:rowOff>
    </xdr:to>
    <xdr:sp macro="" textlink="">
      <xdr:nvSpPr>
        <xdr:cNvPr id="3" name="plsRiepilogo" descr="Fare clic su questa forma per selezionare il foglio di lavoro Riepilogo." title="Pulsante di spostamento a riepilogo">
          <a:hlinkClick xmlns:r="http://schemas.openxmlformats.org/officeDocument/2006/relationships" r:id="rId1" tooltip="Click to view Monthly Summary"/>
        </xdr:cNvPr>
        <xdr:cNvSpPr/>
      </xdr:nvSpPr>
      <xdr:spPr>
        <a:xfrm>
          <a:off x="5572125" y="238125"/>
          <a:ext cx="1371600" cy="276225"/>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Riepilogo</a:t>
          </a:r>
        </a:p>
      </xdr:txBody>
    </xdr:sp>
    <xdr:clientData fPrintsWithSheet="0"/>
  </xdr:twoCellAnchor>
</xdr:wsDr>
</file>

<file path=xl/drawings/drawing11.xml><?xml version="1.0" encoding="utf-8"?>
<xdr:wsDr xmlns:xdr="http://schemas.openxmlformats.org/drawingml/2006/spreadsheetDrawing" xmlns:a="http://schemas.openxmlformats.org/drawingml/2006/main">
  <xdr:twoCellAnchor>
    <xdr:from>
      <xdr:col>5</xdr:col>
      <xdr:colOff>1485900</xdr:colOff>
      <xdr:row>1</xdr:row>
      <xdr:rowOff>28575</xdr:rowOff>
    </xdr:from>
    <xdr:to>
      <xdr:col>6</xdr:col>
      <xdr:colOff>0</xdr:colOff>
      <xdr:row>1</xdr:row>
      <xdr:rowOff>304800</xdr:rowOff>
    </xdr:to>
    <xdr:sp macro="" textlink="">
      <xdr:nvSpPr>
        <xdr:cNvPr id="3" name="plsRiepilogo" descr="Fare clic su questa forma per selezionare il foglio di lavoro Riepilogo." title="Pulsante di spostamento a riepilogo">
          <a:hlinkClick xmlns:r="http://schemas.openxmlformats.org/officeDocument/2006/relationships" r:id="rId1" tooltip="Click to view Monthly Summary"/>
        </xdr:cNvPr>
        <xdr:cNvSpPr/>
      </xdr:nvSpPr>
      <xdr:spPr>
        <a:xfrm>
          <a:off x="5572125" y="238125"/>
          <a:ext cx="1371600" cy="276225"/>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Riepilogo</a:t>
          </a:r>
        </a:p>
      </xdr:txBody>
    </xdr:sp>
    <xdr:clientData fPrintsWithSheet="0"/>
  </xdr:twoCellAnchor>
</xdr:wsDr>
</file>

<file path=xl/drawings/drawing12.xml><?xml version="1.0" encoding="utf-8"?>
<xdr:wsDr xmlns:xdr="http://schemas.openxmlformats.org/drawingml/2006/spreadsheetDrawing" xmlns:a="http://schemas.openxmlformats.org/drawingml/2006/main">
  <xdr:twoCellAnchor>
    <xdr:from>
      <xdr:col>5</xdr:col>
      <xdr:colOff>1485900</xdr:colOff>
      <xdr:row>1</xdr:row>
      <xdr:rowOff>28575</xdr:rowOff>
    </xdr:from>
    <xdr:to>
      <xdr:col>6</xdr:col>
      <xdr:colOff>0</xdr:colOff>
      <xdr:row>1</xdr:row>
      <xdr:rowOff>304800</xdr:rowOff>
    </xdr:to>
    <xdr:sp macro="" textlink="">
      <xdr:nvSpPr>
        <xdr:cNvPr id="3" name="plsRiepilogo" descr="Fare clic su questa forma per selezionare il foglio di lavoro Riepilogo." title="Pulsante di spostamento a riepilogo">
          <a:hlinkClick xmlns:r="http://schemas.openxmlformats.org/officeDocument/2006/relationships" r:id="rId1" tooltip="Click to view Monthly Summary"/>
        </xdr:cNvPr>
        <xdr:cNvSpPr/>
      </xdr:nvSpPr>
      <xdr:spPr>
        <a:xfrm>
          <a:off x="5572125" y="238125"/>
          <a:ext cx="1371600" cy="276225"/>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Riepilogo</a:t>
          </a:r>
        </a:p>
      </xdr:txBody>
    </xdr:sp>
    <xdr:clientData fPrintsWithSheet="0"/>
  </xdr:twoCellAnchor>
</xdr:wsDr>
</file>

<file path=xl/drawings/drawing13.xml><?xml version="1.0" encoding="utf-8"?>
<xdr:wsDr xmlns:xdr="http://schemas.openxmlformats.org/drawingml/2006/spreadsheetDrawing" xmlns:a="http://schemas.openxmlformats.org/drawingml/2006/main">
  <xdr:twoCellAnchor>
    <xdr:from>
      <xdr:col>5</xdr:col>
      <xdr:colOff>1485900</xdr:colOff>
      <xdr:row>1</xdr:row>
      <xdr:rowOff>28575</xdr:rowOff>
    </xdr:from>
    <xdr:to>
      <xdr:col>6</xdr:col>
      <xdr:colOff>0</xdr:colOff>
      <xdr:row>1</xdr:row>
      <xdr:rowOff>304800</xdr:rowOff>
    </xdr:to>
    <xdr:sp macro="" textlink="">
      <xdr:nvSpPr>
        <xdr:cNvPr id="3" name="plsRiepilogo" descr="Fare clic su questa forma per selezionare il foglio di lavoro Riepilogo." title="Pulsante di spostamento a riepilogo">
          <a:hlinkClick xmlns:r="http://schemas.openxmlformats.org/officeDocument/2006/relationships" r:id="rId1" tooltip="Click to view Monthly Summary"/>
        </xdr:cNvPr>
        <xdr:cNvSpPr/>
      </xdr:nvSpPr>
      <xdr:spPr>
        <a:xfrm>
          <a:off x="5572125" y="238125"/>
          <a:ext cx="1371600" cy="276225"/>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Riepilogo</a:t>
          </a:r>
        </a:p>
      </xdr:txBody>
    </xdr:sp>
    <xdr:clientData fPrintsWithSheet="0"/>
  </xdr:twoCellAnchor>
</xdr:wsDr>
</file>

<file path=xl/drawings/drawing14.xml><?xml version="1.0" encoding="utf-8"?>
<xdr:wsDr xmlns:xdr="http://schemas.openxmlformats.org/drawingml/2006/spreadsheetDrawing" xmlns:a="http://schemas.openxmlformats.org/drawingml/2006/main">
  <xdr:twoCellAnchor>
    <xdr:from>
      <xdr:col>5</xdr:col>
      <xdr:colOff>1485900</xdr:colOff>
      <xdr:row>1</xdr:row>
      <xdr:rowOff>28575</xdr:rowOff>
    </xdr:from>
    <xdr:to>
      <xdr:col>6</xdr:col>
      <xdr:colOff>0</xdr:colOff>
      <xdr:row>1</xdr:row>
      <xdr:rowOff>304800</xdr:rowOff>
    </xdr:to>
    <xdr:sp macro="" textlink="">
      <xdr:nvSpPr>
        <xdr:cNvPr id="3" name="plsRiepilogo" descr="Fare clic su questa forma per selezionare il foglio di lavoro Riepilogo." title="Pulsante di spostamento a riepilogo">
          <a:hlinkClick xmlns:r="http://schemas.openxmlformats.org/officeDocument/2006/relationships" r:id="rId1" tooltip="Click to view Monthly Summary"/>
        </xdr:cNvPr>
        <xdr:cNvSpPr/>
      </xdr:nvSpPr>
      <xdr:spPr>
        <a:xfrm>
          <a:off x="5572125" y="238125"/>
          <a:ext cx="1371600" cy="276225"/>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050" b="1">
              <a:solidFill>
                <a:schemeClr val="bg1"/>
              </a:solidFill>
            </a:rPr>
            <a:t>Riepilogo</a:t>
          </a:r>
        </a:p>
      </xdr:txBody>
    </xdr:sp>
    <xdr:clientData fPrintsWithSheet="0"/>
  </xdr:twoCellAnchor>
</xdr:wsDr>
</file>

<file path=xl/tables/table1.xml><?xml version="1.0" encoding="utf-8"?>
<table xmlns="http://schemas.openxmlformats.org/spreadsheetml/2006/main" id="14" name="RiepilogoSpese" displayName="RiepilogoSpese" ref="B18:P24" totalsRowCount="1" headerRowDxfId="166" dataDxfId="165" totalsRowDxfId="164">
  <autoFilter ref="B18:P23"/>
  <tableColumns count="15">
    <tableColumn id="1" name="Spese" totalsRowLabel="Totale" dataDxfId="163" totalsRowDxfId="162"/>
    <tableColumn id="2" name="Gen" totalsRowFunction="sum" dataDxfId="161" totalsRowDxfId="160">
      <calculatedColumnFormula>SUMIFS(SpeGen[Importo],SpeGen[Categoria],RiepilogoSpese[[#This Row],[Spese]])</calculatedColumnFormula>
    </tableColumn>
    <tableColumn id="3" name="Feb" totalsRowFunction="sum" dataDxfId="159" totalsRowDxfId="158">
      <calculatedColumnFormula>SUMIFS(SpeFeb[Importo],SpeFeb[Categoria],RiepilogoSpese[[#This Row],[Spese]])</calculatedColumnFormula>
    </tableColumn>
    <tableColumn id="4" name="Mar" totalsRowFunction="sum" dataDxfId="157" totalsRowDxfId="156">
      <calculatedColumnFormula>SUMIFS(SpeMar[Importo],SpeMar[Categoria],RiepilogoSpese[[#This Row],[Spese]])</calculatedColumnFormula>
    </tableColumn>
    <tableColumn id="5" name="Apr" totalsRowFunction="sum" dataDxfId="155" totalsRowDxfId="154">
      <calculatedColumnFormula>SUMIFS(SpeApr[Importo],SpeApr[Categoria],RiepilogoSpese[[#This Row],[Spese]])</calculatedColumnFormula>
    </tableColumn>
    <tableColumn id="6" name="Mag" totalsRowFunction="sum" dataDxfId="153" totalsRowDxfId="152">
      <calculatedColumnFormula>SUMIFS(SpeMag[Importo],SpeMag[Categoria],RiepilogoSpese[[#This Row],[Spese]])</calculatedColumnFormula>
    </tableColumn>
    <tableColumn id="7" name="Giu" totalsRowFunction="sum" dataDxfId="151" totalsRowDxfId="150">
      <calculatedColumnFormula>SUMIFS(SpeGiu[Importo],SpeGiu[Categoria],RiepilogoSpese[[#This Row],[Spese]])</calculatedColumnFormula>
    </tableColumn>
    <tableColumn id="8" name="Lug" totalsRowFunction="sum" dataDxfId="149" totalsRowDxfId="148">
      <calculatedColumnFormula>SUMIFS(SpeLug[Importo],SpeLug[Categoria],RiepilogoSpese[[#This Row],[Spese]])</calculatedColumnFormula>
    </tableColumn>
    <tableColumn id="9" name="Ago" totalsRowFunction="sum" dataDxfId="147" totalsRowDxfId="146">
      <calculatedColumnFormula>SUMIFS(SpeAgo[Importo],SpeAgo[Categoria],RiepilogoSpese[[#This Row],[Spese]])</calculatedColumnFormula>
    </tableColumn>
    <tableColumn id="10" name="Set" totalsRowFunction="sum" dataDxfId="145" totalsRowDxfId="144">
      <calculatedColumnFormula>SUMIFS(SpeSet[Importo],SpeSet[Categoria],RiepilogoSpese[[#This Row],[Spese]])</calculatedColumnFormula>
    </tableColumn>
    <tableColumn id="11" name="Ott" totalsRowFunction="sum" dataDxfId="143" totalsRowDxfId="142">
      <calculatedColumnFormula>SUMIFS(SpeOtt[Importo],SpeOtt[Categoria],RiepilogoSpese[[#This Row],[Spese]])</calculatedColumnFormula>
    </tableColumn>
    <tableColumn id="12" name="Nov" totalsRowFunction="sum" dataDxfId="141" totalsRowDxfId="140">
      <calculatedColumnFormula>SUMIFS(SpeNov[Importo],SpeNov[Categoria],RiepilogoSpese[[#This Row],[Spese]])</calculatedColumnFormula>
    </tableColumn>
    <tableColumn id="13" name="Dic" totalsRowFunction="sum" dataDxfId="139" totalsRowDxfId="138">
      <calculatedColumnFormula>SUMIFS(SpeDic[Importo],SpeDic[Categoria],RiepilogoSpese[[#This Row],[Spese]])</calculatedColumnFormula>
    </tableColumn>
    <tableColumn id="14" name="Totale" totalsRowFunction="sum" dataDxfId="137" totalsRowDxfId="136">
      <calculatedColumnFormula>SUM(RiepilogoSpese[[#This Row],[Gen]:[Dic]])</calculatedColumnFormula>
    </tableColumn>
    <tableColumn id="15" name="Tendenza" dataDxfId="135" totalsRowDxfId="134"/>
  </tableColumns>
  <tableStyleInfo name="Summary Table" showFirstColumn="0" showLastColumn="0" showRowStripes="0" showColumnStripes="1"/>
  <extLst>
    <ext xmlns:x14="http://schemas.microsoft.com/office/spreadsheetml/2009/9/main" uri="{504A1905-F514-4f6f-8877-14C23A59335A}">
      <x14:table altText="Tabella Tendenze di spesa" altTextSummary="La tabella riporta le spese mensili, riepilogate in base alla categoria, per ogni mese dell'anno, a partire da gennaio. È formattata in modo tale da risultare allineata in verticale con un grafico posizionato direttamente al di sopra, in modo che ogni mese della tabella sia allineato al corrispondente raggruppamento mensile del grafico."/>
    </ext>
  </extLst>
</table>
</file>

<file path=xl/tables/table2.xml><?xml version="1.0" encoding="utf-8"?>
<table xmlns="http://schemas.openxmlformats.org/spreadsheetml/2006/main" id="2" name="SpeGen" displayName="SpeGen" ref="B4:F11" totalsRowCount="1" headerRowDxfId="133" dataDxfId="132" totalsRowDxfId="131">
  <autoFilter ref="B4:F10"/>
  <tableColumns count="5">
    <tableColumn id="1" name="Data" totalsRowLabel="Totale" dataDxfId="130" totalsRowDxfId="129"/>
    <tableColumn id="2" name="N. ordine di acquisto" dataDxfId="128" totalsRowDxfId="127"/>
    <tableColumn id="3" name="Importo" totalsRowFunction="sum" dataDxfId="126" totalsRowDxfId="125"/>
    <tableColumn id="4" name="Categoria" dataDxfId="124" totalsRowDxfId="123"/>
    <tableColumn id="5" name="Descrizione" dataDxfId="122" totalsRowDxfId="121"/>
  </tableColumns>
  <tableStyleInfo name="Summary Table" showFirstColumn="0" showLastColumn="0" showRowStripes="0" showColumnStripes="1"/>
  <extLst>
    <ext xmlns:x14="http://schemas.microsoft.com/office/spreadsheetml/2009/9/main" uri="{504A1905-F514-4f6f-8877-14C23A59335A}">
      <x14:table altText="Tabella spese di gennaio" altTextSummary="Elenco di dettagli sulle spese mensili, ad esempio Data, N. ordine di acquisto, Importo, Categoria e Descrizione. "/>
    </ext>
  </extLst>
</table>
</file>

<file path=xl/tables/table3.xml><?xml version="1.0" encoding="utf-8"?>
<table xmlns="http://schemas.openxmlformats.org/spreadsheetml/2006/main" id="3" name="SpeFeb" displayName="SpeFeb" ref="B4:F11" totalsRowCount="1" headerRowDxfId="120">
  <autoFilter ref="B4:F10"/>
  <tableColumns count="5">
    <tableColumn id="1" name="Data" totalsRowLabel="Totale" dataDxfId="119" totalsRowDxfId="118"/>
    <tableColumn id="2" name="N. ordine di acquisto" dataDxfId="117" totalsRowDxfId="116"/>
    <tableColumn id="3" name="Importo" totalsRowFunction="sum" dataDxfId="115" totalsRowDxfId="114"/>
    <tableColumn id="4" name="Categoria" dataDxfId="113" totalsRowDxfId="112"/>
    <tableColumn id="5" name="Descrizione" dataDxfId="111" totalsRowDxfId="110"/>
  </tableColumns>
  <tableStyleInfo name="Summary Table" showFirstColumn="0" showLastColumn="0" showRowStripes="0" showColumnStripes="1"/>
  <extLst>
    <ext xmlns:x14="http://schemas.microsoft.com/office/spreadsheetml/2009/9/main" uri="{504A1905-F514-4f6f-8877-14C23A59335A}">
      <x14:table altText="Tabella spese di febbraio" altTextSummary="Elenco di dettagli sulle spese mensili, ad esempio Data, N. ordine di acquisto, Importo, Categoria e Descrizione. "/>
    </ext>
  </extLst>
</table>
</file>

<file path=xl/tables/table4.xml><?xml version="1.0" encoding="utf-8"?>
<table xmlns="http://schemas.openxmlformats.org/spreadsheetml/2006/main" id="4" name="SpeMar" displayName="SpeMar" ref="B4:F11" totalsRowCount="1" headerRowDxfId="109">
  <autoFilter ref="B4:F10"/>
  <tableColumns count="5">
    <tableColumn id="1" name="Data" totalsRowLabel="Totale" dataDxfId="108" totalsRowDxfId="107"/>
    <tableColumn id="2" name="N. ordine di acquisto" dataDxfId="106" totalsRowDxfId="105"/>
    <tableColumn id="3" name="Importo" totalsRowFunction="sum" dataDxfId="104" totalsRowDxfId="103"/>
    <tableColumn id="4" name="Categoria" dataDxfId="102" totalsRowDxfId="101"/>
    <tableColumn id="5" name="Descrizione" dataDxfId="100" totalsRowDxfId="99"/>
  </tableColumns>
  <tableStyleInfo name="Summary Table" showFirstColumn="0" showLastColumn="0" showRowStripes="0" showColumnStripes="1"/>
  <extLst>
    <ext xmlns:x14="http://schemas.microsoft.com/office/spreadsheetml/2009/9/main" uri="{504A1905-F514-4f6f-8877-14C23A59335A}">
      <x14:table altText="Tabella spese di marzo" altTextSummary="Elenco di dettagli sulle spese mensili, ad esempio Data, N. ordine di acquisto, Importo, Categoria e Descrizione. "/>
    </ext>
  </extLst>
</table>
</file>

<file path=xl/tables/table5.xml><?xml version="1.0" encoding="utf-8"?>
<table xmlns="http://schemas.openxmlformats.org/spreadsheetml/2006/main" id="5" name="SpeApr" displayName="SpeApr" ref="B4:F11" totalsRowCount="1" headerRowDxfId="98">
  <autoFilter ref="B4:F10"/>
  <tableColumns count="5">
    <tableColumn id="1" name="Data" totalsRowLabel="Totale" dataDxfId="97" totalsRowDxfId="96"/>
    <tableColumn id="2" name="N. ordine di acquisto" dataDxfId="95" totalsRowDxfId="94"/>
    <tableColumn id="3" name="Importo" totalsRowFunction="sum" dataDxfId="93" totalsRowDxfId="92"/>
    <tableColumn id="4" name="Categoria" dataDxfId="91" totalsRowDxfId="90"/>
    <tableColumn id="5" name="Descrizione" dataDxfId="89" totalsRowDxfId="88"/>
  </tableColumns>
  <tableStyleInfo name="Summary Table" showFirstColumn="0" showLastColumn="0" showRowStripes="0" showColumnStripes="1"/>
  <extLst>
    <ext xmlns:x14="http://schemas.microsoft.com/office/spreadsheetml/2009/9/main" uri="{504A1905-F514-4f6f-8877-14C23A59335A}">
      <x14:table altText="Tabella spese di aprile" altTextSummary="Elenco di dettagli sulle spese mensili, ad esempio Data, N. ordine di acquisto, Importo, Categoria e Descrizione. "/>
    </ext>
  </extLst>
</table>
</file>

<file path=xl/tables/table6.xml><?xml version="1.0" encoding="utf-8"?>
<table xmlns="http://schemas.openxmlformats.org/spreadsheetml/2006/main" id="6" name="SpeMag" displayName="SpeMag" ref="B4:F11" totalsRowCount="1" headerRowDxfId="87">
  <autoFilter ref="B4:F10"/>
  <tableColumns count="5">
    <tableColumn id="1" name="Data" totalsRowLabel="Totale" dataDxfId="86" totalsRowDxfId="85"/>
    <tableColumn id="2" name="N. ordine di acquisto" dataDxfId="84" totalsRowDxfId="83"/>
    <tableColumn id="3" name="Importo" totalsRowFunction="sum" dataDxfId="82" totalsRowDxfId="81"/>
    <tableColumn id="4" name="Categoria" dataDxfId="80" totalsRowDxfId="79"/>
    <tableColumn id="5" name="Descrizione" dataDxfId="78" totalsRowDxfId="77"/>
  </tableColumns>
  <tableStyleInfo name="Summary Table" showFirstColumn="0" showLastColumn="0" showRowStripes="0" showColumnStripes="1"/>
  <extLst>
    <ext xmlns:x14="http://schemas.microsoft.com/office/spreadsheetml/2009/9/main" uri="{504A1905-F514-4f6f-8877-14C23A59335A}">
      <x14:table altText="Tabella dettagliata in cui sono elencate le spese di maggio, immesse dall'utente." altTextSummary="Elenco di dettagli sulle spese mensili, ad esempio Data, N. ordine di acquisto, Importo, Categoria e Descrizione. "/>
    </ext>
  </extLst>
</table>
</file>

<file path=xl/tables/table7.xml><?xml version="1.0" encoding="utf-8"?>
<table xmlns="http://schemas.openxmlformats.org/spreadsheetml/2006/main" id="7" name="SpeGiu" displayName="SpeGiu" ref="B4:F11" totalsRowCount="1" headerRowDxfId="76">
  <autoFilter ref="B4:F10"/>
  <tableColumns count="5">
    <tableColumn id="1" name="Data" totalsRowLabel="Totale" dataDxfId="75" totalsRowDxfId="74"/>
    <tableColumn id="2" name="N. ordine di acquisto" dataDxfId="73" totalsRowDxfId="72"/>
    <tableColumn id="3" name="Importo" totalsRowFunction="sum" dataDxfId="71" totalsRowDxfId="70"/>
    <tableColumn id="4" name="Categoria" dataDxfId="69" totalsRowDxfId="68"/>
    <tableColumn id="5" name="Descrizione" dataDxfId="67" totalsRowDxfId="66"/>
  </tableColumns>
  <tableStyleInfo name="Summary Table" showFirstColumn="0" showLastColumn="0" showRowStripes="0" showColumnStripes="1"/>
  <extLst>
    <ext xmlns:x14="http://schemas.microsoft.com/office/spreadsheetml/2009/9/main" uri="{504A1905-F514-4f6f-8877-14C23A59335A}">
      <x14:table altText="Tabella spese di giugno" altTextSummary="Elenco di dettagli sulle spese mensili, ad esempio Data, N. ordine di acquisto, Importo, Categoria e Descrizione. "/>
    </ext>
  </extLst>
</table>
</file>

<file path=xl/tables/table8.xml><?xml version="1.0" encoding="utf-8"?>
<table xmlns="http://schemas.openxmlformats.org/spreadsheetml/2006/main" id="8" name="SpeLug" displayName="SpeLug" ref="B4:F11" totalsRowCount="1" headerRowDxfId="65">
  <autoFilter ref="B4:F10"/>
  <tableColumns count="5">
    <tableColumn id="1" name="Data" totalsRowLabel="Totale" dataDxfId="64" totalsRowDxfId="63"/>
    <tableColumn id="2" name="N. ordine di acquisto" dataDxfId="62" totalsRowDxfId="61"/>
    <tableColumn id="3" name="Importo" totalsRowFunction="sum" dataDxfId="60" totalsRowDxfId="59"/>
    <tableColumn id="4" name="Categoria" dataDxfId="58" totalsRowDxfId="57"/>
    <tableColumn id="5" name="Descrizione" dataDxfId="56" totalsRowDxfId="55"/>
  </tableColumns>
  <tableStyleInfo name="Summary Table" showFirstColumn="0" showLastColumn="0" showRowStripes="0" showColumnStripes="1"/>
  <extLst>
    <ext xmlns:x14="http://schemas.microsoft.com/office/spreadsheetml/2009/9/main" uri="{504A1905-F514-4f6f-8877-14C23A59335A}">
      <x14:table altText="Tabella spese di luglio" altTextSummary="Elenco di dettagli sulle spese mensili, ad esempio Data, N. ordine di acquisto, Importo, Categoria e Descrizione. "/>
    </ext>
  </extLst>
</table>
</file>

<file path=xl/tables/table9.xml><?xml version="1.0" encoding="utf-8"?>
<table xmlns="http://schemas.openxmlformats.org/spreadsheetml/2006/main" id="9" name="SpeAgo" displayName="SpeAgo" ref="B4:F11" totalsRowCount="1" headerRowDxfId="54">
  <autoFilter ref="B4:F10"/>
  <tableColumns count="5">
    <tableColumn id="1" name="Data" totalsRowLabel="Totale" dataDxfId="53" totalsRowDxfId="52"/>
    <tableColumn id="2" name="N. ordine di acquisto" dataDxfId="51" totalsRowDxfId="50"/>
    <tableColumn id="3" name="Importo" totalsRowFunction="sum" dataDxfId="49" totalsRowDxfId="48"/>
    <tableColumn id="4" name="Categoria" dataDxfId="47" totalsRowDxfId="46"/>
    <tableColumn id="5" name="Descrizione" dataDxfId="45" totalsRowDxfId="44"/>
  </tableColumns>
  <tableStyleInfo name="Summary Table" showFirstColumn="0" showLastColumn="0" showRowStripes="0" showColumnStripes="1"/>
  <extLst>
    <ext xmlns:x14="http://schemas.microsoft.com/office/spreadsheetml/2009/9/main" uri="{504A1905-F514-4f6f-8877-14C23A59335A}">
      <x14:table altText="Tabella spese di agosto" altTextSummary="Elenco di dettagli sulle spese mensili, ad esempio Data, N. ordine di acquisto, Importo, Categoria e Descrizione. "/>
    </ext>
  </extLst>
</table>
</file>

<file path=xl/tables/table10.xml><?xml version="1.0" encoding="utf-8"?>
<table xmlns="http://schemas.openxmlformats.org/spreadsheetml/2006/main" id="10" name="SpeSet" displayName="SpeSet" ref="B4:F11" totalsRowCount="1" headerRowDxfId="43">
  <autoFilter ref="B4:F10"/>
  <tableColumns count="5">
    <tableColumn id="1" name="Data" totalsRowLabel="Totale" dataDxfId="42" totalsRowDxfId="41"/>
    <tableColumn id="2" name="N. ordine di acquisto" dataDxfId="40" totalsRowDxfId="39"/>
    <tableColumn id="3" name="Importo" totalsRowFunction="sum" dataDxfId="38" totalsRowDxfId="37"/>
    <tableColumn id="4" name="Categoria" dataDxfId="36" totalsRowDxfId="35"/>
    <tableColumn id="5" name="Descrizione" dataDxfId="34" totalsRowDxfId="33"/>
  </tableColumns>
  <tableStyleInfo name="Summary Table" showFirstColumn="0" showLastColumn="0" showRowStripes="0" showColumnStripes="1"/>
  <extLst>
    <ext xmlns:x14="http://schemas.microsoft.com/office/spreadsheetml/2009/9/main" uri="{504A1905-F514-4f6f-8877-14C23A59335A}">
      <x14:table altText="Tabella spese di settembre" altTextSummary="Elenco di dettagli sulle spese mensili, ad esempio Data, N. ordine di acquisto, Importo, Categoria e Descrizione. "/>
    </ext>
  </extLst>
</table>
</file>

<file path=xl/tables/table11.xml><?xml version="1.0" encoding="utf-8"?>
<table xmlns="http://schemas.openxmlformats.org/spreadsheetml/2006/main" id="11" name="SpeOtt" displayName="SpeOtt" ref="B4:F11" totalsRowCount="1" headerRowDxfId="32">
  <autoFilter ref="B4:F10"/>
  <tableColumns count="5">
    <tableColumn id="1" name="Data" totalsRowLabel="Totale" dataDxfId="31" totalsRowDxfId="30"/>
    <tableColumn id="2" name="N. ordine di acquisto" dataDxfId="29" totalsRowDxfId="28"/>
    <tableColumn id="3" name="Importo" totalsRowFunction="sum" dataDxfId="27" totalsRowDxfId="26"/>
    <tableColumn id="4" name="Categoria" dataDxfId="25" totalsRowDxfId="24"/>
    <tableColumn id="5" name="Descrizione" dataDxfId="23" totalsRowDxfId="22"/>
  </tableColumns>
  <tableStyleInfo name="Summary Table" showFirstColumn="0" showLastColumn="0" showRowStripes="0" showColumnStripes="1"/>
  <extLst>
    <ext xmlns:x14="http://schemas.microsoft.com/office/spreadsheetml/2009/9/main" uri="{504A1905-F514-4f6f-8877-14C23A59335A}">
      <x14:table altText="Tabella spese di ottobre" altTextSummary="Elenco di dettagli sulle spese mensili, ad esempio Data, N. ordine di acquisto, Importo, Categoria e Descrizione. "/>
    </ext>
  </extLst>
</table>
</file>

<file path=xl/tables/table12.xml><?xml version="1.0" encoding="utf-8"?>
<table xmlns="http://schemas.openxmlformats.org/spreadsheetml/2006/main" id="12" name="SpeNov" displayName="SpeNov" ref="B4:F11" totalsRowCount="1" headerRowDxfId="21">
  <autoFilter ref="B4:F10"/>
  <tableColumns count="5">
    <tableColumn id="1" name="Data" totalsRowLabel="Totale" dataDxfId="20" totalsRowDxfId="19"/>
    <tableColumn id="2" name="N. ordine di acquisto" dataDxfId="18" totalsRowDxfId="17"/>
    <tableColumn id="3" name="Importo" totalsRowFunction="sum" dataDxfId="16" totalsRowDxfId="15"/>
    <tableColumn id="4" name="Categoria" dataDxfId="14" totalsRowDxfId="13"/>
    <tableColumn id="5" name="Descrizione" dataDxfId="12" totalsRowDxfId="11"/>
  </tableColumns>
  <tableStyleInfo name="Summary Table" showFirstColumn="0" showLastColumn="0" showRowStripes="0" showColumnStripes="1"/>
  <extLst>
    <ext xmlns:x14="http://schemas.microsoft.com/office/spreadsheetml/2009/9/main" uri="{504A1905-F514-4f6f-8877-14C23A59335A}">
      <x14:table altText="Tabella spese di novembre" altTextSummary="Elenco di dettagli sulle spese mensili, ad esempio Data, N. ordine di acquisto, Importo, Categoria e Descrizione. "/>
    </ext>
  </extLst>
</table>
</file>

<file path=xl/tables/table13.xml><?xml version="1.0" encoding="utf-8"?>
<table xmlns="http://schemas.openxmlformats.org/spreadsheetml/2006/main" id="13" name="SpeDic" displayName="SpeDic" ref="B4:F11" totalsRowCount="1" headerRowDxfId="10">
  <autoFilter ref="B4:F10"/>
  <tableColumns count="5">
    <tableColumn id="1" name="Data" totalsRowLabel="Totale" dataDxfId="9" totalsRowDxfId="8"/>
    <tableColumn id="2" name="N. ordine di acquisto" dataDxfId="7" totalsRowDxfId="6"/>
    <tableColumn id="3" name="Importo" totalsRowFunction="sum" dataDxfId="5" totalsRowDxfId="4"/>
    <tableColumn id="4" name="Categoria" dataDxfId="3" totalsRowDxfId="2"/>
    <tableColumn id="5" name="Descrizione" dataDxfId="1" totalsRowDxfId="0"/>
  </tableColumns>
  <tableStyleInfo name="Summary Table" showFirstColumn="0" showLastColumn="0" showRowStripes="0" showColumnStripes="1"/>
  <extLst>
    <ext xmlns:x14="http://schemas.microsoft.com/office/spreadsheetml/2009/9/main" uri="{504A1905-F514-4f6f-8877-14C23A59335A}">
      <x14:table altText="Tabella spese di dicembre" altTextSummary="Elenco di dettagli sulle spese mensili, ad esempio Data, N. ordine di acquisto, Importo, Categoria e Descrizione. "/>
    </ext>
  </extLst>
</table>
</file>

<file path=xl/theme/theme1.xml><?xml version="1.0" encoding="utf-8"?>
<a:theme xmlns:a="http://schemas.openxmlformats.org/drawingml/2006/main" name="Office Theme">
  <a:themeElements>
    <a:clrScheme name="Expense Trends Budget">
      <a:dk1>
        <a:srgbClr val="000000"/>
      </a:dk1>
      <a:lt1>
        <a:srgbClr val="FFFFFF"/>
      </a:lt1>
      <a:dk2>
        <a:srgbClr val="000000"/>
      </a:dk2>
      <a:lt2>
        <a:srgbClr val="FFFFFF"/>
      </a:lt2>
      <a:accent1>
        <a:srgbClr val="97B9C7"/>
      </a:accent1>
      <a:accent2>
        <a:srgbClr val="FFCC4F"/>
      </a:accent2>
      <a:accent3>
        <a:srgbClr val="9AB294"/>
      </a:accent3>
      <a:accent4>
        <a:srgbClr val="F15926"/>
      </a:accent4>
      <a:accent5>
        <a:srgbClr val="906083"/>
      </a:accent5>
      <a:accent6>
        <a:srgbClr val="E89C2B"/>
      </a:accent6>
      <a:hlink>
        <a:srgbClr val="FFFFFF"/>
      </a:hlink>
      <a:folHlink>
        <a:srgbClr val="FFFFFF"/>
      </a:folHlink>
    </a:clrScheme>
    <a:fontScheme name="Expense Trends Budget">
      <a:majorFont>
        <a:latin typeface="Century Gothic"/>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3"/>
    <pageSetUpPr autoPageBreaks="0" fitToPage="1"/>
  </sheetPr>
  <dimension ref="B2:N11"/>
  <sheetViews>
    <sheetView showGridLines="0" zoomScaleNormal="100" workbookViewId="0"/>
  </sheetViews>
  <sheetFormatPr defaultRowHeight="14.25"/>
  <cols>
    <col min="1" max="1" width="3.140625" style="15" customWidth="1"/>
    <col min="2" max="2" width="4" style="15" customWidth="1"/>
    <col min="3" max="3" width="3.7109375" style="15" customWidth="1"/>
    <col min="4" max="12" width="7.7109375" style="15" customWidth="1"/>
    <col min="13" max="13" width="26" style="15" customWidth="1"/>
    <col min="14" max="14" width="5.7109375" style="15" customWidth="1"/>
    <col min="15" max="16384" width="9.140625" style="15"/>
  </cols>
  <sheetData>
    <row r="2" spans="2:14" ht="31.5">
      <c r="B2" s="2" t="s">
        <v>44</v>
      </c>
    </row>
    <row r="3" spans="2:14" ht="23.25" customHeight="1"/>
    <row r="4" spans="2:14" ht="27" customHeight="1">
      <c r="B4" s="31" t="s">
        <v>27</v>
      </c>
      <c r="C4" s="31"/>
      <c r="D4" s="31"/>
      <c r="E4" s="31"/>
      <c r="F4" s="31"/>
      <c r="G4" s="31"/>
      <c r="H4" s="31"/>
      <c r="I4" s="31"/>
      <c r="J4" s="31"/>
      <c r="K4" s="31"/>
      <c r="L4" s="31"/>
      <c r="M4" s="31"/>
      <c r="N4" s="15" t="s">
        <v>51</v>
      </c>
    </row>
    <row r="5" spans="2:14" ht="57.75" customHeight="1">
      <c r="C5" s="32" t="s">
        <v>48</v>
      </c>
      <c r="D5" s="32"/>
      <c r="E5" s="32"/>
      <c r="F5" s="32"/>
      <c r="G5" s="32"/>
      <c r="H5" s="32"/>
      <c r="I5" s="32"/>
      <c r="J5" s="32"/>
      <c r="K5" s="32"/>
      <c r="L5" s="32"/>
      <c r="M5" s="32"/>
    </row>
    <row r="6" spans="2:14" ht="27" customHeight="1">
      <c r="B6" s="31" t="s">
        <v>45</v>
      </c>
      <c r="C6" s="31"/>
      <c r="D6" s="31"/>
      <c r="E6" s="31"/>
      <c r="F6" s="31"/>
      <c r="G6" s="31"/>
      <c r="H6" s="31"/>
      <c r="I6" s="31"/>
      <c r="J6" s="31"/>
      <c r="K6" s="31"/>
      <c r="L6" s="31"/>
      <c r="M6" s="31"/>
      <c r="N6" s="15" t="s">
        <v>51</v>
      </c>
    </row>
    <row r="7" spans="2:14" ht="41.25" customHeight="1">
      <c r="C7" s="33" t="s">
        <v>28</v>
      </c>
      <c r="D7" s="33"/>
      <c r="E7" s="33"/>
      <c r="F7" s="33"/>
      <c r="G7" s="33"/>
      <c r="H7" s="33"/>
      <c r="I7" s="33"/>
      <c r="J7" s="33"/>
      <c r="K7" s="33"/>
      <c r="L7" s="33"/>
      <c r="M7" s="33"/>
    </row>
    <row r="8" spans="2:14" ht="37.5" customHeight="1">
      <c r="C8" s="16" t="s">
        <v>29</v>
      </c>
      <c r="D8" s="30" t="s">
        <v>50</v>
      </c>
      <c r="E8" s="30"/>
      <c r="F8" s="30"/>
      <c r="G8" s="30"/>
      <c r="H8" s="30"/>
      <c r="I8" s="30"/>
      <c r="J8" s="30"/>
      <c r="K8" s="30"/>
      <c r="L8" s="30"/>
      <c r="M8" s="30"/>
    </row>
    <row r="9" spans="2:14" ht="35.25" customHeight="1">
      <c r="C9" s="16" t="s">
        <v>29</v>
      </c>
      <c r="D9" s="30" t="s">
        <v>49</v>
      </c>
      <c r="E9" s="30"/>
      <c r="F9" s="30"/>
      <c r="G9" s="30"/>
      <c r="H9" s="30"/>
      <c r="I9" s="30"/>
      <c r="J9" s="30"/>
      <c r="K9" s="30"/>
      <c r="L9" s="30"/>
      <c r="M9" s="30"/>
    </row>
    <row r="10" spans="2:14" ht="34.5" customHeight="1">
      <c r="C10" s="16" t="s">
        <v>29</v>
      </c>
      <c r="D10" s="30" t="s">
        <v>47</v>
      </c>
      <c r="E10" s="30"/>
      <c r="F10" s="30"/>
      <c r="G10" s="30"/>
      <c r="H10" s="30"/>
      <c r="I10" s="30"/>
      <c r="J10" s="30"/>
      <c r="K10" s="30"/>
      <c r="L10" s="30"/>
      <c r="M10" s="30"/>
    </row>
    <row r="11" spans="2:14" ht="56.25" customHeight="1">
      <c r="C11" s="16" t="s">
        <v>29</v>
      </c>
      <c r="D11" s="30" t="s">
        <v>30</v>
      </c>
      <c r="E11" s="30"/>
      <c r="F11" s="30"/>
      <c r="G11" s="30"/>
      <c r="H11" s="30"/>
      <c r="I11" s="30"/>
      <c r="J11" s="30"/>
      <c r="K11" s="30"/>
      <c r="L11" s="30"/>
      <c r="M11" s="30"/>
    </row>
  </sheetData>
  <mergeCells count="8">
    <mergeCell ref="D10:M10"/>
    <mergeCell ref="D11:M11"/>
    <mergeCell ref="B4:M4"/>
    <mergeCell ref="C5:M5"/>
    <mergeCell ref="C7:M7"/>
    <mergeCell ref="D8:M8"/>
    <mergeCell ref="D9:M9"/>
    <mergeCell ref="B6:M6"/>
  </mergeCells>
  <phoneticPr fontId="10" type="noConversion"/>
  <printOptions horizontalCentered="1"/>
  <pageMargins left="0.7" right="0.7" top="0.75" bottom="0.75" header="0.3" footer="0.3"/>
  <pageSetup scale="98"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499984740745262"/>
    <pageSetUpPr autoPageBreaks="0" fitToPage="1"/>
  </sheetPr>
  <dimension ref="B2:P24"/>
  <sheetViews>
    <sheetView showGridLines="0" tabSelected="1" topLeftCell="A4" zoomScaleNormal="100" workbookViewId="0">
      <selection activeCell="E2" sqref="E2"/>
    </sheetView>
  </sheetViews>
  <sheetFormatPr defaultRowHeight="16.5" customHeight="1"/>
  <cols>
    <col min="1" max="1" width="3.140625" customWidth="1"/>
    <col min="2" max="2" width="16" customWidth="1"/>
    <col min="3" max="3" width="9.85546875" customWidth="1"/>
    <col min="4" max="14" width="9.7109375" customWidth="1"/>
    <col min="15" max="15" width="11.28515625" customWidth="1"/>
    <col min="16" max="16" width="12.85546875" bestFit="1" customWidth="1"/>
    <col min="17" max="17" width="10.42578125" customWidth="1"/>
    <col min="18" max="18" width="10.140625" customWidth="1"/>
    <col min="19" max="19" width="8" customWidth="1"/>
  </cols>
  <sheetData>
    <row r="2" spans="2:2" ht="31.5" customHeight="1">
      <c r="B2" s="2" t="s">
        <v>31</v>
      </c>
    </row>
    <row r="18" spans="2:16" ht="16.5" customHeight="1">
      <c r="B18" s="6" t="s">
        <v>0</v>
      </c>
      <c r="C18" s="5" t="s">
        <v>14</v>
      </c>
      <c r="D18" s="6" t="s">
        <v>15</v>
      </c>
      <c r="E18" s="5" t="s">
        <v>16</v>
      </c>
      <c r="F18" s="6" t="s">
        <v>17</v>
      </c>
      <c r="G18" s="5" t="s">
        <v>18</v>
      </c>
      <c r="H18" s="6" t="s">
        <v>19</v>
      </c>
      <c r="I18" s="5" t="s">
        <v>20</v>
      </c>
      <c r="J18" s="6" t="s">
        <v>21</v>
      </c>
      <c r="K18" s="5" t="s">
        <v>22</v>
      </c>
      <c r="L18" s="6" t="s">
        <v>23</v>
      </c>
      <c r="M18" s="5" t="s">
        <v>24</v>
      </c>
      <c r="N18" s="6" t="s">
        <v>25</v>
      </c>
      <c r="O18" s="5" t="s">
        <v>12</v>
      </c>
      <c r="P18" s="6" t="s">
        <v>26</v>
      </c>
    </row>
    <row r="19" spans="2:16" ht="16.5" customHeight="1">
      <c r="B19" s="9" t="s">
        <v>1</v>
      </c>
      <c r="C19" s="7">
        <f>SUMIFS(SpeGen[Importo],SpeGen[Categoria],RiepilogoSpese[[#This Row],[Spese]])</f>
        <v>33</v>
      </c>
      <c r="D19" s="8">
        <f>SUMIFS(SpeFeb[Importo],SpeFeb[Categoria],RiepilogoSpese[[#This Row],[Spese]])</f>
        <v>375</v>
      </c>
      <c r="E19" s="7">
        <f>SUMIFS(SpeMar[Importo],SpeMar[Categoria],RiepilogoSpese[[#This Row],[Spese]])</f>
        <v>33</v>
      </c>
      <c r="F19" s="8">
        <f>SUMIFS(SpeApr[Importo],SpeApr[Categoria],RiepilogoSpese[[#This Row],[Spese]])</f>
        <v>45</v>
      </c>
      <c r="G19" s="7">
        <f>SUMIFS(SpeMag[Importo],SpeMag[Categoria],RiepilogoSpese[[#This Row],[Spese]])</f>
        <v>375</v>
      </c>
      <c r="H19" s="8">
        <f>SUMIFS(SpeGiu[Importo],SpeGiu[Categoria],RiepilogoSpese[[#This Row],[Spese]])</f>
        <v>201</v>
      </c>
      <c r="I19" s="7">
        <f>SUMIFS(SpeLug[Importo],SpeLug[Categoria],RiepilogoSpese[[#This Row],[Spese]])</f>
        <v>0</v>
      </c>
      <c r="J19" s="8">
        <f>SUMIFS(SpeAgo[Importo],SpeAgo[Categoria],RiepilogoSpese[[#This Row],[Spese]])</f>
        <v>0</v>
      </c>
      <c r="K19" s="7">
        <f>SUMIFS(SpeSet[Importo],SpeSet[Categoria],RiepilogoSpese[[#This Row],[Spese]])</f>
        <v>0</v>
      </c>
      <c r="L19" s="8">
        <f>SUMIFS(SpeOtt[Importo],SpeOtt[Categoria],RiepilogoSpese[[#This Row],[Spese]])</f>
        <v>0</v>
      </c>
      <c r="M19" s="3">
        <f>SUMIFS(SpeNov[Importo],SpeNov[Categoria],RiepilogoSpese[[#This Row],[Spese]])</f>
        <v>0</v>
      </c>
      <c r="N19" s="8">
        <f>SUMIFS(SpeDic[Importo],SpeDic[Categoria],RiepilogoSpese[[#This Row],[Spese]])</f>
        <v>201</v>
      </c>
      <c r="O19" s="7">
        <f>SUM(RiepilogoSpese[[#This Row],[Gen]:[Dic]])</f>
        <v>1263</v>
      </c>
      <c r="P19" s="4"/>
    </row>
    <row r="20" spans="2:16" ht="16.5" customHeight="1">
      <c r="B20" s="9" t="s">
        <v>2</v>
      </c>
      <c r="C20" s="7">
        <f>SUMIFS(SpeGen[Importo],SpeGen[Categoria],RiepilogoSpese[[#This Row],[Spese]])</f>
        <v>238</v>
      </c>
      <c r="D20" s="8">
        <f>SUMIFS(SpeFeb[Importo],SpeFeb[Categoria],RiepilogoSpese[[#This Row],[Spese]])</f>
        <v>238</v>
      </c>
      <c r="E20" s="7">
        <f>SUMIFS(SpeMar[Importo],SpeMar[Categoria],RiepilogoSpese[[#This Row],[Spese]])</f>
        <v>238</v>
      </c>
      <c r="F20" s="8">
        <f>SUMIFS(SpeApr[Importo],SpeApr[Categoria],RiepilogoSpese[[#This Row],[Spese]])</f>
        <v>123</v>
      </c>
      <c r="G20" s="7">
        <f>SUMIFS(SpeMag[Importo],SpeMag[Categoria],RiepilogoSpese[[#This Row],[Spese]])</f>
        <v>111</v>
      </c>
      <c r="H20" s="8">
        <f>SUMIFS(SpeGiu[Importo],SpeGiu[Categoria],RiepilogoSpese[[#This Row],[Spese]])</f>
        <v>98</v>
      </c>
      <c r="I20" s="7">
        <f>SUMIFS(SpeLug[Importo],SpeLug[Categoria],RiepilogoSpese[[#This Row],[Spese]])</f>
        <v>0</v>
      </c>
      <c r="J20" s="8">
        <f>SUMIFS(SpeAgo[Importo],SpeAgo[Categoria],RiepilogoSpese[[#This Row],[Spese]])</f>
        <v>0</v>
      </c>
      <c r="K20" s="7">
        <f>SUMIFS(SpeSet[Importo],SpeSet[Categoria],RiepilogoSpese[[#This Row],[Spese]])</f>
        <v>0</v>
      </c>
      <c r="L20" s="8">
        <f>SUMIFS(SpeOtt[Importo],SpeOtt[Categoria],RiepilogoSpese[[#This Row],[Spese]])</f>
        <v>0</v>
      </c>
      <c r="M20" s="3">
        <f>SUMIFS(SpeNov[Importo],SpeNov[Categoria],RiepilogoSpese[[#This Row],[Spese]])</f>
        <v>0</v>
      </c>
      <c r="N20" s="8">
        <f>SUMIFS(SpeDic[Importo],SpeDic[Categoria],RiepilogoSpese[[#This Row],[Spese]])</f>
        <v>440</v>
      </c>
      <c r="O20" s="7">
        <f>SUM(RiepilogoSpese[[#This Row],[Gen]:[Dic]])</f>
        <v>1486</v>
      </c>
      <c r="P20" s="4"/>
    </row>
    <row r="21" spans="2:16" ht="16.5" customHeight="1">
      <c r="B21" s="9" t="s">
        <v>3</v>
      </c>
      <c r="C21" s="7">
        <f>SUMIFS(SpeGen[Importo],SpeGen[Categoria],RiepilogoSpese[[#This Row],[Spese]])</f>
        <v>110</v>
      </c>
      <c r="D21" s="8">
        <f>SUMIFS(SpeFeb[Importo],SpeFeb[Categoria],RiepilogoSpese[[#This Row],[Spese]])</f>
        <v>110</v>
      </c>
      <c r="E21" s="7">
        <f>SUMIFS(SpeMar[Importo],SpeMar[Categoria],RiepilogoSpese[[#This Row],[Spese]])</f>
        <v>110</v>
      </c>
      <c r="F21" s="8">
        <f>SUMIFS(SpeApr[Importo],SpeApr[Categoria],RiepilogoSpese[[#This Row],[Spese]])</f>
        <v>125</v>
      </c>
      <c r="G21" s="7">
        <f>SUMIFS(SpeMag[Importo],SpeMag[Categoria],RiepilogoSpese[[#This Row],[Spese]])</f>
        <v>333</v>
      </c>
      <c r="H21" s="8">
        <f>SUMIFS(SpeGiu[Importo],SpeGiu[Categoria],RiepilogoSpese[[#This Row],[Spese]])</f>
        <v>122</v>
      </c>
      <c r="I21" s="7">
        <f>SUMIFS(SpeLug[Importo],SpeLug[Categoria],RiepilogoSpese[[#This Row],[Spese]])</f>
        <v>0</v>
      </c>
      <c r="J21" s="8">
        <f>SUMIFS(SpeAgo[Importo],SpeAgo[Categoria],RiepilogoSpese[[#This Row],[Spese]])</f>
        <v>0</v>
      </c>
      <c r="K21" s="7">
        <f>SUMIFS(SpeSet[Importo],SpeSet[Categoria],RiepilogoSpese[[#This Row],[Spese]])</f>
        <v>0</v>
      </c>
      <c r="L21" s="8">
        <f>SUMIFS(SpeOtt[Importo],SpeOtt[Categoria],RiepilogoSpese[[#This Row],[Spese]])</f>
        <v>0</v>
      </c>
      <c r="M21" s="3">
        <f>SUMIFS(SpeNov[Importo],SpeNov[Categoria],RiepilogoSpese[[#This Row],[Spese]])</f>
        <v>0</v>
      </c>
      <c r="N21" s="8">
        <f>SUMIFS(SpeDic[Importo],SpeDic[Categoria],RiepilogoSpese[[#This Row],[Spese]])</f>
        <v>122</v>
      </c>
      <c r="O21" s="7">
        <f>SUM(RiepilogoSpese[[#This Row],[Gen]:[Dic]])</f>
        <v>1032</v>
      </c>
      <c r="P21" s="4"/>
    </row>
    <row r="22" spans="2:16" ht="16.5" customHeight="1">
      <c r="B22" s="9" t="s">
        <v>4</v>
      </c>
      <c r="C22" s="7">
        <f>SUMIFS(SpeGen[Importo],SpeGen[Categoria],RiepilogoSpese[[#This Row],[Spese]])</f>
        <v>426</v>
      </c>
      <c r="D22" s="8">
        <f>SUMIFS(SpeFeb[Importo],SpeFeb[Categoria],RiepilogoSpese[[#This Row],[Spese]])</f>
        <v>84</v>
      </c>
      <c r="E22" s="7">
        <f>SUMIFS(SpeMar[Importo],SpeMar[Categoria],RiepilogoSpese[[#This Row],[Spese]])</f>
        <v>84</v>
      </c>
      <c r="F22" s="8">
        <f>SUMIFS(SpeApr[Importo],SpeApr[Categoria],RiepilogoSpese[[#This Row],[Spese]])</f>
        <v>426</v>
      </c>
      <c r="G22" s="7">
        <f>SUMIFS(SpeMag[Importo],SpeMag[Categoria],RiepilogoSpese[[#This Row],[Spese]])</f>
        <v>125</v>
      </c>
      <c r="H22" s="8">
        <f>SUMIFS(SpeGiu[Importo],SpeGiu[Categoria],RiepilogoSpese[[#This Row],[Spese]])</f>
        <v>187</v>
      </c>
      <c r="I22" s="7">
        <f>SUMIFS(SpeLug[Importo],SpeLug[Categoria],RiepilogoSpese[[#This Row],[Spese]])</f>
        <v>0</v>
      </c>
      <c r="J22" s="8">
        <f>SUMIFS(SpeAgo[Importo],SpeAgo[Categoria],RiepilogoSpese[[#This Row],[Spese]])</f>
        <v>0</v>
      </c>
      <c r="K22" s="7">
        <f>SUMIFS(SpeSet[Importo],SpeSet[Categoria],RiepilogoSpese[[#This Row],[Spese]])</f>
        <v>0</v>
      </c>
      <c r="L22" s="8">
        <f>SUMIFS(SpeOtt[Importo],SpeOtt[Categoria],RiepilogoSpese[[#This Row],[Spese]])</f>
        <v>0</v>
      </c>
      <c r="M22" s="3">
        <f>SUMIFS(SpeNov[Importo],SpeNov[Categoria],RiepilogoSpese[[#This Row],[Spese]])</f>
        <v>0</v>
      </c>
      <c r="N22" s="8">
        <f>SUMIFS(SpeDic[Importo],SpeDic[Categoria],RiepilogoSpese[[#This Row],[Spese]])</f>
        <v>187</v>
      </c>
      <c r="O22" s="7">
        <f>SUM(RiepilogoSpese[[#This Row],[Gen]:[Dic]])</f>
        <v>1519</v>
      </c>
      <c r="P22" s="4"/>
    </row>
    <row r="23" spans="2:16" ht="16.5" customHeight="1">
      <c r="B23" s="9" t="s">
        <v>5</v>
      </c>
      <c r="C23" s="7">
        <f>SUMIFS(SpeGen[Importo],SpeGen[Categoria],RiepilogoSpese[[#This Row],[Spese]])</f>
        <v>54</v>
      </c>
      <c r="D23" s="8">
        <f>SUMIFS(SpeFeb[Importo],SpeFeb[Categoria],RiepilogoSpese[[#This Row],[Spese]])</f>
        <v>54</v>
      </c>
      <c r="E23" s="7">
        <f>SUMIFS(SpeMar[Importo],SpeMar[Categoria],RiepilogoSpese[[#This Row],[Spese]])</f>
        <v>109</v>
      </c>
      <c r="F23" s="8">
        <f>SUMIFS(SpeApr[Importo],SpeApr[Categoria],RiepilogoSpese[[#This Row],[Spese]])</f>
        <v>98</v>
      </c>
      <c r="G23" s="7">
        <f>SUMIFS(SpeMag[Importo],SpeMag[Categoria],RiepilogoSpese[[#This Row],[Spese]])</f>
        <v>33</v>
      </c>
      <c r="H23" s="8">
        <f>SUMIFS(SpeGiu[Importo],SpeGiu[Categoria],RiepilogoSpese[[#This Row],[Spese]])</f>
        <v>441</v>
      </c>
      <c r="I23" s="7">
        <f>SUMIFS(SpeLug[Importo],SpeLug[Categoria],RiepilogoSpese[[#This Row],[Spese]])</f>
        <v>0</v>
      </c>
      <c r="J23" s="8">
        <f>SUMIFS(SpeAgo[Importo],SpeAgo[Categoria],RiepilogoSpese[[#This Row],[Spese]])</f>
        <v>0</v>
      </c>
      <c r="K23" s="7">
        <f>SUMIFS(SpeSet[Importo],SpeSet[Categoria],RiepilogoSpese[[#This Row],[Spese]])</f>
        <v>0</v>
      </c>
      <c r="L23" s="8">
        <f>SUMIFS(SpeOtt[Importo],SpeOtt[Categoria],RiepilogoSpese[[#This Row],[Spese]])</f>
        <v>0</v>
      </c>
      <c r="M23" s="3">
        <f>SUMIFS(SpeNov[Importo],SpeNov[Categoria],RiepilogoSpese[[#This Row],[Spese]])</f>
        <v>0</v>
      </c>
      <c r="N23" s="8">
        <f>SUMIFS(SpeDic[Importo],SpeDic[Categoria],RiepilogoSpese[[#This Row],[Spese]])</f>
        <v>99</v>
      </c>
      <c r="O23" s="7">
        <f>SUM(RiepilogoSpese[[#This Row],[Gen]:[Dic]])</f>
        <v>888</v>
      </c>
      <c r="P23" s="4"/>
    </row>
    <row r="24" spans="2:16" ht="16.5" customHeight="1">
      <c r="B24" s="26" t="s">
        <v>12</v>
      </c>
      <c r="C24" s="27">
        <f>SUBTOTAL(109,RiepilogoSpese[Gen])</f>
        <v>861</v>
      </c>
      <c r="D24" s="28">
        <f>SUBTOTAL(109,RiepilogoSpese[Feb])</f>
        <v>861</v>
      </c>
      <c r="E24" s="27">
        <f>SUBTOTAL(109,RiepilogoSpese[Mar])</f>
        <v>574</v>
      </c>
      <c r="F24" s="28">
        <f>SUBTOTAL(109,RiepilogoSpese[Apr])</f>
        <v>817</v>
      </c>
      <c r="G24" s="27">
        <f>SUBTOTAL(109,RiepilogoSpese[Mag])</f>
        <v>977</v>
      </c>
      <c r="H24" s="28">
        <f>SUBTOTAL(109,RiepilogoSpese[Giu])</f>
        <v>1049</v>
      </c>
      <c r="I24" s="27">
        <f>SUBTOTAL(109,RiepilogoSpese[Lug])</f>
        <v>0</v>
      </c>
      <c r="J24" s="28">
        <f>SUBTOTAL(109,RiepilogoSpese[Ago])</f>
        <v>0</v>
      </c>
      <c r="K24" s="27">
        <f>SUBTOTAL(109,RiepilogoSpese[Set])</f>
        <v>0</v>
      </c>
      <c r="L24" s="28">
        <f>SUBTOTAL(109,RiepilogoSpese[Ott])</f>
        <v>0</v>
      </c>
      <c r="M24" s="29">
        <f>SUBTOTAL(109,RiepilogoSpese[Nov])</f>
        <v>0</v>
      </c>
      <c r="N24" s="28">
        <f>SUBTOTAL(109,RiepilogoSpese[Dic])</f>
        <v>1049</v>
      </c>
      <c r="O24" s="29">
        <f>SUBTOTAL(109,RiepilogoSpese[Totale])</f>
        <v>6188</v>
      </c>
      <c r="P24" s="25"/>
    </row>
  </sheetData>
  <phoneticPr fontId="10" type="noConversion"/>
  <printOptions horizontalCentered="1"/>
  <pageMargins left="0.25" right="0.25" top="0.75" bottom="0.75" header="0.3" footer="0.3"/>
  <pageSetup scale="91" orientation="landscape" r:id="rId1"/>
  <drawing r:id="rId2"/>
  <tableParts count="1">
    <tablePart r:id="rId3"/>
  </tableParts>
  <extLst>
    <ext xmlns:x14="http://schemas.microsoft.com/office/spreadsheetml/2009/9/main" uri="{05C60535-1F16-4fd2-B633-F4F36F0B64E0}">
      <x14:sparklineGroups xmlns:xm="http://schemas.microsoft.com/office/excel/2006/main">
        <x14:sparklineGroup displayEmptyCellsAs="gap" markers="1" last="1">
          <x14:colorSeries theme="0" tint="-0.499984740745262"/>
          <x14:colorNegative theme="6"/>
          <x14:colorAxis rgb="FF000000"/>
          <x14:colorMarkers theme="7"/>
          <x14:colorFirst theme="5" tint="-0.249977111117893"/>
          <x14:colorLast theme="7"/>
          <x14:colorHigh theme="5" tint="-0.249977111117893"/>
          <x14:colorLow theme="5" tint="-0.249977111117893"/>
          <x14:sparklines>
            <x14:sparkline>
              <xm:f>riepilogo!C19:N19</xm:f>
              <xm:sqref>P19</xm:sqref>
            </x14:sparkline>
            <x14:sparkline>
              <xm:f>riepilogo!C20:N20</xm:f>
              <xm:sqref>P20</xm:sqref>
            </x14:sparkline>
            <x14:sparkline>
              <xm:f>riepilogo!C21:N21</xm:f>
              <xm:sqref>P21</xm:sqref>
            </x14:sparkline>
            <x14:sparkline>
              <xm:f>riepilogo!C22:N22</xm:f>
              <xm:sqref>P22</xm:sqref>
            </x14:sparkline>
            <x14:sparkline>
              <xm:f>riepilogo!C23:N23</xm:f>
              <xm:sqref>P23</xm:sqref>
            </x14:sparkline>
          </x14:sparklines>
        </x14:sparklineGroup>
        <x14:sparklineGroup displayEmptyCellsAs="gap" markers="1" negative="1">
          <x14:colorSeries theme="4" tint="-0.249977111117893"/>
          <x14:colorNegative theme="7" tint="0.39997558519241921"/>
          <x14:colorAxis rgb="FF000000"/>
          <x14:colorMarkers theme="7" tint="-0.249977111117893"/>
          <x14:colorFirst theme="4" tint="0.39997558519241921"/>
          <x14:colorLast theme="4" tint="0.39997558519241921"/>
          <x14:colorHigh theme="4"/>
          <x14:colorLow theme="4"/>
          <x14:sparklines>
            <x14:sparkline>
              <xm:f>riepilogo!C24:N24</xm:f>
              <xm:sqref>P24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4" tint="-0.249977111117893"/>
    <pageSetUpPr autoPageBreaks="0" fitToPage="1"/>
  </sheetPr>
  <dimension ref="B1:G11"/>
  <sheetViews>
    <sheetView showGridLines="0" workbookViewId="0"/>
  </sheetViews>
  <sheetFormatPr defaultRowHeight="16.5" customHeight="1"/>
  <cols>
    <col min="1" max="1" width="3.140625" customWidth="1"/>
    <col min="2" max="2" width="12.28515625" customWidth="1"/>
    <col min="3" max="3" width="22" bestFit="1" customWidth="1"/>
    <col min="4" max="4" width="12.28515625" customWidth="1"/>
    <col min="5" max="5" width="15.7109375" customWidth="1"/>
    <col min="6" max="6" width="42.85546875" customWidth="1"/>
    <col min="7" max="7" width="3.5703125" customWidth="1"/>
  </cols>
  <sheetData>
    <row r="1" spans="2:7" ht="16.5" customHeight="1">
      <c r="B1" s="1"/>
      <c r="G1" t="s">
        <v>51</v>
      </c>
    </row>
    <row r="2" spans="2:7" ht="31.5" customHeight="1">
      <c r="B2" s="2" t="s">
        <v>32</v>
      </c>
      <c r="G2" t="s">
        <v>51</v>
      </c>
    </row>
    <row r="3" spans="2:7" ht="23.25" customHeight="1"/>
    <row r="4" spans="2:7" ht="16.5" customHeight="1">
      <c r="B4" s="12" t="s">
        <v>6</v>
      </c>
      <c r="C4" s="10" t="s">
        <v>7</v>
      </c>
      <c r="D4" s="12" t="s">
        <v>8</v>
      </c>
      <c r="E4" s="10" t="s">
        <v>10</v>
      </c>
      <c r="F4" s="12" t="s">
        <v>9</v>
      </c>
    </row>
    <row r="5" spans="2:7" ht="16.5" customHeight="1">
      <c r="B5" s="23">
        <v>40547</v>
      </c>
      <c r="C5" s="11" t="s">
        <v>11</v>
      </c>
      <c r="D5" s="17">
        <v>33</v>
      </c>
      <c r="E5" s="11" t="s">
        <v>1</v>
      </c>
      <c r="F5" s="14" t="s">
        <v>46</v>
      </c>
    </row>
    <row r="6" spans="2:7" ht="16.5" customHeight="1">
      <c r="B6" s="23">
        <v>40548</v>
      </c>
      <c r="C6" s="11" t="s">
        <v>13</v>
      </c>
      <c r="D6" s="17">
        <v>238</v>
      </c>
      <c r="E6" s="11" t="s">
        <v>2</v>
      </c>
      <c r="F6" s="14"/>
    </row>
    <row r="7" spans="2:7" ht="16.5" customHeight="1">
      <c r="B7" s="13"/>
      <c r="C7" s="11"/>
      <c r="D7" s="17">
        <v>342</v>
      </c>
      <c r="E7" s="11" t="s">
        <v>4</v>
      </c>
      <c r="F7" s="14"/>
    </row>
    <row r="8" spans="2:7" ht="16.5" customHeight="1">
      <c r="B8" s="13"/>
      <c r="C8" s="11"/>
      <c r="D8" s="17">
        <v>110</v>
      </c>
      <c r="E8" s="11" t="s">
        <v>3</v>
      </c>
      <c r="F8" s="14"/>
    </row>
    <row r="9" spans="2:7" ht="16.5" customHeight="1">
      <c r="B9" s="13"/>
      <c r="C9" s="11"/>
      <c r="D9" s="17">
        <v>84</v>
      </c>
      <c r="E9" s="11" t="s">
        <v>4</v>
      </c>
      <c r="F9" s="14"/>
    </row>
    <row r="10" spans="2:7" ht="16.5" customHeight="1">
      <c r="B10" s="13"/>
      <c r="C10" s="11"/>
      <c r="D10" s="17">
        <v>54</v>
      </c>
      <c r="E10" s="11" t="s">
        <v>5</v>
      </c>
      <c r="F10" s="14"/>
    </row>
    <row r="11" spans="2:7" ht="16.5" customHeight="1">
      <c r="B11" s="21" t="s">
        <v>12</v>
      </c>
      <c r="C11" s="24"/>
      <c r="D11" s="22">
        <f>SUBTOTAL(109,SpeGen[Importo])</f>
        <v>861</v>
      </c>
      <c r="E11" s="20"/>
      <c r="F11" s="19"/>
    </row>
  </sheetData>
  <phoneticPr fontId="10" type="noConversion"/>
  <dataValidations count="3">
    <dataValidation type="list" errorStyle="warning" allowBlank="1" showInputMessage="1" showErrorMessage="1" errorTitle="Unknown Category" error="An expense from the drop down should be selected in order for it to be included on the Summary sheet." sqref="E5:E10">
      <formula1>CategorieDiSpesa</formula1>
    </dataValidation>
    <dataValidation type="custom" errorStyle="warning" allowBlank="1" showInputMessage="1" showErrorMessage="1" errorTitle="Date Validation" error="A date in January needs be entered in order for this expense to be added to the Summary sheet." sqref="B5:B10">
      <formula1>MONTH($B5)=1</formula1>
    </dataValidation>
    <dataValidation type="custom" errorStyle="warning" allowBlank="1" showInputMessage="1" showErrorMessage="1" errorTitle="Amount Validation" error="Amount should be a number." sqref="D5:D10">
      <formula1>ISNUMBER($D5)</formula1>
    </dataValidation>
  </dataValidations>
  <printOptions horizontalCentered="1"/>
  <pageMargins left="0.25" right="0.25" top="0.75" bottom="0.75" header="0.3" footer="0.3"/>
  <pageSetup fitToHeight="0"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4"/>
    <pageSetUpPr autoPageBreaks="0" fitToPage="1"/>
  </sheetPr>
  <dimension ref="B1:G12"/>
  <sheetViews>
    <sheetView showGridLines="0" workbookViewId="0"/>
  </sheetViews>
  <sheetFormatPr defaultRowHeight="16.5" customHeight="1"/>
  <cols>
    <col min="1" max="1" width="3.140625" customWidth="1"/>
    <col min="2" max="2" width="12.28515625" customWidth="1"/>
    <col min="3" max="3" width="22" bestFit="1" customWidth="1"/>
    <col min="4" max="4" width="12.28515625" customWidth="1"/>
    <col min="5" max="5" width="15.7109375" customWidth="1"/>
    <col min="6" max="6" width="42.85546875" customWidth="1"/>
    <col min="7" max="7" width="3.5703125" customWidth="1"/>
  </cols>
  <sheetData>
    <row r="1" spans="2:7" ht="16.5" customHeight="1">
      <c r="G1" t="s">
        <v>51</v>
      </c>
    </row>
    <row r="2" spans="2:7" ht="31.5" customHeight="1">
      <c r="B2" s="2" t="s">
        <v>33</v>
      </c>
      <c r="G2" t="s">
        <v>51</v>
      </c>
    </row>
    <row r="3" spans="2:7" ht="23.25" customHeight="1"/>
    <row r="4" spans="2:7" ht="16.5" customHeight="1">
      <c r="B4" s="12" t="s">
        <v>6</v>
      </c>
      <c r="C4" s="10" t="s">
        <v>7</v>
      </c>
      <c r="D4" s="12" t="s">
        <v>8</v>
      </c>
      <c r="E4" s="10" t="s">
        <v>10</v>
      </c>
      <c r="F4" s="12" t="s">
        <v>9</v>
      </c>
    </row>
    <row r="5" spans="2:7" ht="16.5" customHeight="1">
      <c r="B5" s="23">
        <v>40577</v>
      </c>
      <c r="C5" s="11" t="s">
        <v>11</v>
      </c>
      <c r="D5" s="17">
        <v>33</v>
      </c>
      <c r="E5" s="11" t="s">
        <v>1</v>
      </c>
      <c r="F5" s="14" t="s">
        <v>46</v>
      </c>
    </row>
    <row r="6" spans="2:7" ht="16.5" customHeight="1">
      <c r="B6" s="23">
        <v>40578</v>
      </c>
      <c r="C6" s="11" t="s">
        <v>13</v>
      </c>
      <c r="D6" s="17">
        <v>238</v>
      </c>
      <c r="E6" s="11" t="s">
        <v>2</v>
      </c>
      <c r="F6" s="14"/>
    </row>
    <row r="7" spans="2:7" ht="16.5" customHeight="1">
      <c r="B7" s="13"/>
      <c r="C7" s="11"/>
      <c r="D7" s="17">
        <v>342</v>
      </c>
      <c r="E7" s="11" t="s">
        <v>1</v>
      </c>
      <c r="F7" s="14"/>
    </row>
    <row r="8" spans="2:7" ht="16.5" customHeight="1">
      <c r="B8" s="13"/>
      <c r="C8" s="11"/>
      <c r="D8" s="17">
        <v>110</v>
      </c>
      <c r="E8" s="11" t="s">
        <v>3</v>
      </c>
      <c r="F8" s="14"/>
    </row>
    <row r="9" spans="2:7" ht="16.5" customHeight="1">
      <c r="B9" s="13"/>
      <c r="C9" s="11"/>
      <c r="D9" s="17">
        <v>84</v>
      </c>
      <c r="E9" s="11" t="s">
        <v>4</v>
      </c>
      <c r="F9" s="14"/>
    </row>
    <row r="10" spans="2:7" ht="16.5" customHeight="1">
      <c r="B10" s="13"/>
      <c r="C10" s="11"/>
      <c r="D10" s="17">
        <v>54</v>
      </c>
      <c r="E10" s="11" t="s">
        <v>5</v>
      </c>
      <c r="F10" s="14"/>
    </row>
    <row r="11" spans="2:7" ht="16.5" customHeight="1">
      <c r="B11" s="21" t="s">
        <v>12</v>
      </c>
      <c r="C11" s="24"/>
      <c r="D11" s="22">
        <f>SUBTOTAL(109,SpeFeb[Importo])</f>
        <v>861</v>
      </c>
      <c r="E11" s="20"/>
      <c r="F11" s="19"/>
    </row>
    <row r="12" spans="2:7" ht="16.5" customHeight="1">
      <c r="D12" s="18"/>
    </row>
  </sheetData>
  <phoneticPr fontId="10" type="noConversion"/>
  <dataValidations count="3">
    <dataValidation type="custom" errorStyle="warning" allowBlank="1" showInputMessage="1" showErrorMessage="1" errorTitle="Date Validation" error="A date in February needs be entered in order for this expense to be added to the Summary sheet." sqref="B5:B10">
      <formula1>MONTH($B5)=2</formula1>
    </dataValidation>
    <dataValidation type="list" errorStyle="warning" allowBlank="1" showInputMessage="1" showErrorMessage="1" errorTitle="Unknown Category" error="An expense from the drop down should be selected in order for it to be included on the Summary sheet." sqref="E5:E10">
      <formula1>CategorieDiSpesa</formula1>
    </dataValidation>
    <dataValidation type="custom" errorStyle="warning" allowBlank="1" showInputMessage="1" showErrorMessage="1" errorTitle="Amount Validation" error="Amount should be a number." sqref="D5:D10">
      <formula1>ISNUMBER($D5)</formula1>
    </dataValidation>
  </dataValidations>
  <printOptions horizontalCentered="1"/>
  <pageMargins left="0.25" right="0.25" top="0.75" bottom="0.75" header="0.3" footer="0.3"/>
  <pageSetup fitToHeight="0"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4" tint="0.39997558519241921"/>
    <pageSetUpPr autoPageBreaks="0" fitToPage="1"/>
  </sheetPr>
  <dimension ref="B1:G12"/>
  <sheetViews>
    <sheetView showGridLines="0" workbookViewId="0"/>
  </sheetViews>
  <sheetFormatPr defaultRowHeight="16.5" customHeight="1"/>
  <cols>
    <col min="1" max="1" width="3.140625" customWidth="1"/>
    <col min="2" max="2" width="12.28515625" customWidth="1"/>
    <col min="3" max="3" width="22" bestFit="1" customWidth="1"/>
    <col min="4" max="4" width="12.28515625" customWidth="1"/>
    <col min="5" max="5" width="15.7109375" customWidth="1"/>
    <col min="6" max="6" width="42.85546875" customWidth="1"/>
    <col min="7" max="7" width="3.5703125" customWidth="1"/>
  </cols>
  <sheetData>
    <row r="1" spans="2:7" ht="16.5" customHeight="1">
      <c r="G1" t="s">
        <v>51</v>
      </c>
    </row>
    <row r="2" spans="2:7" ht="31.5" customHeight="1">
      <c r="B2" s="2" t="s">
        <v>34</v>
      </c>
      <c r="G2" t="s">
        <v>51</v>
      </c>
    </row>
    <row r="3" spans="2:7" ht="23.25" customHeight="1"/>
    <row r="4" spans="2:7" ht="16.5" customHeight="1">
      <c r="B4" s="12" t="s">
        <v>6</v>
      </c>
      <c r="C4" s="10" t="s">
        <v>7</v>
      </c>
      <c r="D4" s="12" t="s">
        <v>8</v>
      </c>
      <c r="E4" s="10" t="s">
        <v>10</v>
      </c>
      <c r="F4" s="12" t="s">
        <v>9</v>
      </c>
    </row>
    <row r="5" spans="2:7" ht="16.5" customHeight="1">
      <c r="B5" s="23">
        <v>40606</v>
      </c>
      <c r="C5" s="11" t="s">
        <v>11</v>
      </c>
      <c r="D5" s="17">
        <v>33</v>
      </c>
      <c r="E5" s="11" t="s">
        <v>1</v>
      </c>
      <c r="F5" s="14" t="s">
        <v>46</v>
      </c>
    </row>
    <row r="6" spans="2:7" ht="16.5" customHeight="1">
      <c r="B6" s="23">
        <v>40608</v>
      </c>
      <c r="C6" s="11" t="s">
        <v>13</v>
      </c>
      <c r="D6" s="17">
        <v>238</v>
      </c>
      <c r="E6" s="11" t="s">
        <v>2</v>
      </c>
      <c r="F6" s="14"/>
    </row>
    <row r="7" spans="2:7" ht="16.5" customHeight="1">
      <c r="B7" s="13"/>
      <c r="C7" s="11"/>
      <c r="D7" s="17">
        <v>55</v>
      </c>
      <c r="E7" s="11" t="s">
        <v>5</v>
      </c>
      <c r="F7" s="14"/>
    </row>
    <row r="8" spans="2:7" ht="16.5" customHeight="1">
      <c r="B8" s="13"/>
      <c r="C8" s="11"/>
      <c r="D8" s="17">
        <v>110</v>
      </c>
      <c r="E8" s="11" t="s">
        <v>3</v>
      </c>
      <c r="F8" s="14"/>
    </row>
    <row r="9" spans="2:7" ht="16.5" customHeight="1">
      <c r="B9" s="13"/>
      <c r="C9" s="11"/>
      <c r="D9" s="17">
        <v>84</v>
      </c>
      <c r="E9" s="11" t="s">
        <v>4</v>
      </c>
      <c r="F9" s="14"/>
    </row>
    <row r="10" spans="2:7" ht="16.5" customHeight="1">
      <c r="B10" s="13"/>
      <c r="C10" s="11"/>
      <c r="D10" s="17">
        <v>54</v>
      </c>
      <c r="E10" s="11" t="s">
        <v>5</v>
      </c>
      <c r="F10" s="14"/>
    </row>
    <row r="11" spans="2:7" ht="16.5" customHeight="1">
      <c r="B11" s="21" t="s">
        <v>12</v>
      </c>
      <c r="C11" s="20"/>
      <c r="D11" s="22">
        <f>SUBTOTAL(109,SpeMar[Importo])</f>
        <v>574</v>
      </c>
      <c r="E11" s="20"/>
      <c r="F11" s="19"/>
    </row>
    <row r="12" spans="2:7" ht="16.5" customHeight="1">
      <c r="D12" s="18"/>
    </row>
  </sheetData>
  <phoneticPr fontId="10" type="noConversion"/>
  <dataValidations count="3">
    <dataValidation type="custom" errorStyle="warning" allowBlank="1" showInputMessage="1" showErrorMessage="1" errorTitle="Date Validation" error="A date in March needs be entered in order for this expense to be added to the Summary sheet." sqref="B5:B10">
      <formula1>MONTH($B5)=3</formula1>
    </dataValidation>
    <dataValidation type="list" errorStyle="warning" allowBlank="1" showInputMessage="1" showErrorMessage="1" errorTitle="Unknown Category" error="An expense from the drop down should be selected in order for it to be included on the Summary sheet." sqref="E5:E10">
      <formula1>CategorieDiSpesa</formula1>
    </dataValidation>
    <dataValidation type="custom" errorStyle="warning" allowBlank="1" showInputMessage="1" showErrorMessage="1" errorTitle="Amount Validation" error="Amount should be a number." sqref="D5:D10">
      <formula1>ISNUMBER($D5)</formula1>
    </dataValidation>
  </dataValidations>
  <printOptions horizontalCentered="1"/>
  <pageMargins left="0.25" right="0.25" top="0.75" bottom="0.75" header="0.3" footer="0.3"/>
  <pageSetup fitToHeight="0"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4" tint="0.59999389629810485"/>
    <pageSetUpPr autoPageBreaks="0" fitToPage="1"/>
  </sheetPr>
  <dimension ref="B1:G12"/>
  <sheetViews>
    <sheetView showGridLines="0" workbookViewId="0"/>
  </sheetViews>
  <sheetFormatPr defaultRowHeight="16.5" customHeight="1"/>
  <cols>
    <col min="1" max="1" width="3.140625" customWidth="1"/>
    <col min="2" max="2" width="12.28515625" customWidth="1"/>
    <col min="3" max="3" width="22" bestFit="1" customWidth="1"/>
    <col min="4" max="4" width="12.28515625" customWidth="1"/>
    <col min="5" max="5" width="15.7109375" customWidth="1"/>
    <col min="6" max="6" width="42.85546875" customWidth="1"/>
    <col min="7" max="7" width="3.5703125" customWidth="1"/>
  </cols>
  <sheetData>
    <row r="1" spans="2:7" ht="16.5" customHeight="1">
      <c r="G1" t="s">
        <v>51</v>
      </c>
    </row>
    <row r="2" spans="2:7" ht="31.5" customHeight="1">
      <c r="B2" s="2" t="s">
        <v>35</v>
      </c>
      <c r="G2" t="s">
        <v>51</v>
      </c>
    </row>
    <row r="3" spans="2:7" ht="23.25" customHeight="1"/>
    <row r="4" spans="2:7" ht="16.5" customHeight="1">
      <c r="B4" s="12" t="s">
        <v>6</v>
      </c>
      <c r="C4" s="10" t="s">
        <v>7</v>
      </c>
      <c r="D4" s="12" t="s">
        <v>8</v>
      </c>
      <c r="E4" s="10" t="s">
        <v>10</v>
      </c>
      <c r="F4" s="12" t="s">
        <v>9</v>
      </c>
    </row>
    <row r="5" spans="2:7" ht="16.5" customHeight="1">
      <c r="B5" s="23">
        <v>40637</v>
      </c>
      <c r="C5" s="11" t="s">
        <v>11</v>
      </c>
      <c r="D5" s="17">
        <v>45</v>
      </c>
      <c r="E5" s="11" t="s">
        <v>1</v>
      </c>
      <c r="F5" s="14" t="s">
        <v>46</v>
      </c>
    </row>
    <row r="6" spans="2:7" ht="16.5" customHeight="1">
      <c r="B6" s="23">
        <v>40641</v>
      </c>
      <c r="C6" s="11" t="s">
        <v>13</v>
      </c>
      <c r="D6" s="17">
        <v>123</v>
      </c>
      <c r="E6" s="11" t="s">
        <v>2</v>
      </c>
      <c r="F6" s="14"/>
    </row>
    <row r="7" spans="2:7" ht="16.5" customHeight="1">
      <c r="B7" s="13"/>
      <c r="C7" s="11"/>
      <c r="D7" s="17">
        <v>342</v>
      </c>
      <c r="E7" s="11" t="s">
        <v>4</v>
      </c>
      <c r="F7" s="14"/>
    </row>
    <row r="8" spans="2:7" ht="16.5" customHeight="1">
      <c r="B8" s="13"/>
      <c r="C8" s="11"/>
      <c r="D8" s="17">
        <v>125</v>
      </c>
      <c r="E8" s="11" t="s">
        <v>3</v>
      </c>
      <c r="F8" s="14"/>
    </row>
    <row r="9" spans="2:7" ht="16.5" customHeight="1">
      <c r="B9" s="13"/>
      <c r="C9" s="11"/>
      <c r="D9" s="17">
        <v>84</v>
      </c>
      <c r="E9" s="11" t="s">
        <v>4</v>
      </c>
      <c r="F9" s="14"/>
    </row>
    <row r="10" spans="2:7" ht="16.5" customHeight="1">
      <c r="B10" s="13"/>
      <c r="C10" s="11"/>
      <c r="D10" s="17">
        <v>98</v>
      </c>
      <c r="E10" s="11" t="s">
        <v>5</v>
      </c>
      <c r="F10" s="14"/>
    </row>
    <row r="11" spans="2:7" ht="16.5" customHeight="1">
      <c r="B11" s="21" t="s">
        <v>12</v>
      </c>
      <c r="C11" s="20"/>
      <c r="D11" s="22">
        <f>SUBTOTAL(109,SpeApr[Importo])</f>
        <v>817</v>
      </c>
      <c r="E11" s="20"/>
      <c r="F11" s="19"/>
    </row>
    <row r="12" spans="2:7" ht="16.5" customHeight="1">
      <c r="D12" s="18"/>
    </row>
  </sheetData>
  <phoneticPr fontId="10" type="noConversion"/>
  <dataValidations count="3">
    <dataValidation type="custom" errorStyle="warning" allowBlank="1" showInputMessage="1" showErrorMessage="1" errorTitle="Date Validation" error="A date in April needs be entered  in order for this expense to be added to the Summary sheet." sqref="B5:B10">
      <formula1>MONTH($B5)=4</formula1>
    </dataValidation>
    <dataValidation type="list" errorStyle="warning" allowBlank="1" showInputMessage="1" showErrorMessage="1" errorTitle="Unknown Category" error="An expense from the drop down should be selected in order for it to be included on the Summary sheet." sqref="E5:E10">
      <formula1>CategorieDiSpesa</formula1>
    </dataValidation>
    <dataValidation type="custom" errorStyle="warning" allowBlank="1" showInputMessage="1" showErrorMessage="1" errorTitle="Amount Validation" error="Amount should be a number." sqref="D5:D10">
      <formula1>ISNUMBER($D5)</formula1>
    </dataValidation>
  </dataValidations>
  <printOptions horizontalCentered="1"/>
  <pageMargins left="0.25" right="0.25" top="0.75" bottom="0.75" header="0.3" footer="0.3"/>
  <pageSetup fitToHeight="0"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4" tint="0.79998168889431442"/>
    <pageSetUpPr autoPageBreaks="0" fitToPage="1"/>
  </sheetPr>
  <dimension ref="B1:G12"/>
  <sheetViews>
    <sheetView showGridLines="0" workbookViewId="0"/>
  </sheetViews>
  <sheetFormatPr defaultRowHeight="16.5" customHeight="1"/>
  <cols>
    <col min="1" max="1" width="3.140625" customWidth="1"/>
    <col min="2" max="2" width="12.28515625" customWidth="1"/>
    <col min="3" max="3" width="22" bestFit="1" customWidth="1"/>
    <col min="4" max="4" width="12.28515625" customWidth="1"/>
    <col min="5" max="5" width="15.7109375" customWidth="1"/>
    <col min="6" max="6" width="42.85546875" customWidth="1"/>
    <col min="7" max="7" width="3.5703125" customWidth="1"/>
  </cols>
  <sheetData>
    <row r="1" spans="2:7" ht="16.5" customHeight="1">
      <c r="G1" t="s">
        <v>51</v>
      </c>
    </row>
    <row r="2" spans="2:7" ht="31.5" customHeight="1">
      <c r="B2" s="2" t="s">
        <v>36</v>
      </c>
      <c r="G2" t="s">
        <v>51</v>
      </c>
    </row>
    <row r="3" spans="2:7" ht="23.25" customHeight="1"/>
    <row r="4" spans="2:7" ht="16.5" customHeight="1">
      <c r="B4" s="12" t="s">
        <v>6</v>
      </c>
      <c r="C4" s="10" t="s">
        <v>7</v>
      </c>
      <c r="D4" s="12" t="s">
        <v>8</v>
      </c>
      <c r="E4" s="10" t="s">
        <v>10</v>
      </c>
      <c r="F4" s="12" t="s">
        <v>9</v>
      </c>
    </row>
    <row r="5" spans="2:7" ht="16.5" customHeight="1">
      <c r="B5" s="13">
        <v>40666</v>
      </c>
      <c r="C5" s="11" t="s">
        <v>11</v>
      </c>
      <c r="D5" s="17">
        <v>33</v>
      </c>
      <c r="E5" s="11" t="s">
        <v>1</v>
      </c>
      <c r="F5" s="14" t="s">
        <v>46</v>
      </c>
    </row>
    <row r="6" spans="2:7" ht="16.5" customHeight="1">
      <c r="B6" s="13">
        <v>40671</v>
      </c>
      <c r="C6" s="11" t="s">
        <v>13</v>
      </c>
      <c r="D6" s="17">
        <v>111</v>
      </c>
      <c r="E6" s="11" t="s">
        <v>2</v>
      </c>
      <c r="F6" s="14"/>
    </row>
    <row r="7" spans="2:7" ht="16.5" customHeight="1">
      <c r="B7" s="13"/>
      <c r="C7" s="11"/>
      <c r="D7" s="17">
        <v>342</v>
      </c>
      <c r="E7" s="11" t="s">
        <v>1</v>
      </c>
      <c r="F7" s="14"/>
    </row>
    <row r="8" spans="2:7" ht="16.5" customHeight="1">
      <c r="B8" s="13"/>
      <c r="C8" s="11"/>
      <c r="D8" s="17">
        <v>333</v>
      </c>
      <c r="E8" s="11" t="s">
        <v>3</v>
      </c>
      <c r="F8" s="14"/>
    </row>
    <row r="9" spans="2:7" ht="16.5" customHeight="1">
      <c r="B9" s="13"/>
      <c r="C9" s="11"/>
      <c r="D9" s="17">
        <v>125</v>
      </c>
      <c r="E9" s="11" t="s">
        <v>4</v>
      </c>
      <c r="F9" s="14"/>
    </row>
    <row r="10" spans="2:7" ht="16.5" customHeight="1">
      <c r="B10" s="13"/>
      <c r="C10" s="11"/>
      <c r="D10" s="17">
        <v>33</v>
      </c>
      <c r="E10" s="11" t="s">
        <v>5</v>
      </c>
      <c r="F10" s="14"/>
    </row>
    <row r="11" spans="2:7" ht="16.5" customHeight="1">
      <c r="B11" s="21" t="s">
        <v>12</v>
      </c>
      <c r="C11" s="20"/>
      <c r="D11" s="22">
        <f>SUBTOTAL(109,SpeMag[Importo])</f>
        <v>977</v>
      </c>
      <c r="E11" s="20"/>
      <c r="F11" s="19"/>
    </row>
    <row r="12" spans="2:7" ht="16.5" customHeight="1">
      <c r="D12" s="18"/>
    </row>
  </sheetData>
  <phoneticPr fontId="10" type="noConversion"/>
  <dataValidations count="3">
    <dataValidation type="custom" errorStyle="warning" allowBlank="1" showInputMessage="1" showErrorMessage="1" errorTitle="Date Validation" error="A date in May needs be entered  in order for this expense to be added to the Summary sheet." sqref="B5:B10">
      <formula1>MONTH($B5)=5</formula1>
    </dataValidation>
    <dataValidation type="list" errorStyle="warning" allowBlank="1" showInputMessage="1" showErrorMessage="1" errorTitle="Unknown Category" error="An expense from the drop down should be selected in order for it to be included on the Summary sheet." sqref="E5:E10">
      <formula1>CategorieDiSpesa</formula1>
    </dataValidation>
    <dataValidation type="custom" errorStyle="warning" allowBlank="1" showInputMessage="1" showErrorMessage="1" errorTitle="Amount Validation" error="Amount should be a number." sqref="D5:D10">
      <formula1>ISNUMBER($D5)</formula1>
    </dataValidation>
  </dataValidations>
  <printOptions horizontalCentered="1"/>
  <pageMargins left="0.25" right="0.25" top="0.75" bottom="0.75" header="0.3" footer="0.3"/>
  <pageSetup fitToHeight="0"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5" tint="-0.499984740745262"/>
    <pageSetUpPr autoPageBreaks="0" fitToPage="1"/>
  </sheetPr>
  <dimension ref="B1:G12"/>
  <sheetViews>
    <sheetView showGridLines="0" workbookViewId="0"/>
  </sheetViews>
  <sheetFormatPr defaultRowHeight="16.5" customHeight="1"/>
  <cols>
    <col min="1" max="1" width="3.140625" customWidth="1"/>
    <col min="2" max="2" width="12.28515625" customWidth="1"/>
    <col min="3" max="3" width="22" bestFit="1" customWidth="1"/>
    <col min="4" max="4" width="12.28515625" customWidth="1"/>
    <col min="5" max="5" width="15.7109375" customWidth="1"/>
    <col min="6" max="6" width="42.85546875" customWidth="1"/>
    <col min="7" max="7" width="3.5703125" customWidth="1"/>
  </cols>
  <sheetData>
    <row r="1" spans="2:7" ht="16.5" customHeight="1">
      <c r="G1" t="s">
        <v>51</v>
      </c>
    </row>
    <row r="2" spans="2:7" ht="31.5" customHeight="1">
      <c r="B2" s="2" t="s">
        <v>37</v>
      </c>
      <c r="G2" t="s">
        <v>51</v>
      </c>
    </row>
    <row r="3" spans="2:7" ht="23.25" customHeight="1"/>
    <row r="4" spans="2:7" ht="16.5" customHeight="1">
      <c r="B4" s="12" t="s">
        <v>6</v>
      </c>
      <c r="C4" s="10" t="s">
        <v>7</v>
      </c>
      <c r="D4" s="12" t="s">
        <v>8</v>
      </c>
      <c r="E4" s="10" t="s">
        <v>10</v>
      </c>
      <c r="F4" s="12" t="s">
        <v>9</v>
      </c>
    </row>
    <row r="5" spans="2:7" ht="16.5" customHeight="1">
      <c r="B5" s="23">
        <v>40701</v>
      </c>
      <c r="C5" s="11" t="s">
        <v>11</v>
      </c>
      <c r="D5" s="17">
        <v>201</v>
      </c>
      <c r="E5" s="11" t="s">
        <v>1</v>
      </c>
      <c r="F5" s="14" t="s">
        <v>46</v>
      </c>
    </row>
    <row r="6" spans="2:7" ht="16.5" customHeight="1">
      <c r="B6" s="23">
        <v>40702</v>
      </c>
      <c r="C6" s="11" t="s">
        <v>13</v>
      </c>
      <c r="D6" s="17">
        <v>98</v>
      </c>
      <c r="E6" s="11" t="s">
        <v>2</v>
      </c>
      <c r="F6" s="14"/>
    </row>
    <row r="7" spans="2:7" ht="16.5" customHeight="1">
      <c r="B7" s="13"/>
      <c r="C7" s="11"/>
      <c r="D7" s="17">
        <v>342</v>
      </c>
      <c r="E7" s="11" t="s">
        <v>5</v>
      </c>
      <c r="F7" s="14"/>
    </row>
    <row r="8" spans="2:7" ht="16.5" customHeight="1">
      <c r="B8" s="13"/>
      <c r="C8" s="11"/>
      <c r="D8" s="17">
        <v>122</v>
      </c>
      <c r="E8" s="11" t="s">
        <v>3</v>
      </c>
      <c r="F8" s="14"/>
    </row>
    <row r="9" spans="2:7" ht="16.5" customHeight="1">
      <c r="B9" s="13"/>
      <c r="C9" s="11"/>
      <c r="D9" s="17">
        <v>187</v>
      </c>
      <c r="E9" s="11" t="s">
        <v>4</v>
      </c>
      <c r="F9" s="14"/>
    </row>
    <row r="10" spans="2:7" ht="16.5" customHeight="1">
      <c r="B10" s="13"/>
      <c r="C10" s="11"/>
      <c r="D10" s="17">
        <v>99</v>
      </c>
      <c r="E10" s="11" t="s">
        <v>5</v>
      </c>
      <c r="F10" s="14"/>
    </row>
    <row r="11" spans="2:7" ht="16.5" customHeight="1">
      <c r="B11" s="21" t="s">
        <v>12</v>
      </c>
      <c r="C11" s="20"/>
      <c r="D11" s="22">
        <f>SUBTOTAL(109,SpeGiu[Importo])</f>
        <v>1049</v>
      </c>
      <c r="E11" s="20"/>
      <c r="F11" s="19"/>
    </row>
    <row r="12" spans="2:7" ht="16.5" customHeight="1">
      <c r="D12" s="18"/>
    </row>
  </sheetData>
  <phoneticPr fontId="10" type="noConversion"/>
  <dataValidations count="3">
    <dataValidation type="custom" errorStyle="warning" allowBlank="1" showInputMessage="1" showErrorMessage="1" errorTitle="Date Validation" error="A date in June needs be entered  in order for this expense to be added to the Summary sheet." sqref="B5:B10">
      <formula1>MONTH($B5)=6</formula1>
    </dataValidation>
    <dataValidation type="list" errorStyle="warning" allowBlank="1" showInputMessage="1" showErrorMessage="1" errorTitle="Unknown Category" error="An expense from the drop down should be selected in order for it to be included on the Summary sheet." sqref="E5:E10">
      <formula1>CategorieDiSpesa</formula1>
    </dataValidation>
    <dataValidation type="custom" errorStyle="warning" allowBlank="1" showInputMessage="1" showErrorMessage="1" errorTitle="Amount Validation" error="Amount should be a number." sqref="D5:D10">
      <formula1>ISNUMBER($D5)</formula1>
    </dataValidation>
  </dataValidations>
  <printOptions horizontalCentered="1"/>
  <pageMargins left="0.25" right="0.25" top="0.75" bottom="0.75" header="0.3" footer="0.3"/>
  <pageSetup fitToHeight="0"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5" tint="-0.249977111117893"/>
    <pageSetUpPr autoPageBreaks="0" fitToPage="1"/>
  </sheetPr>
  <dimension ref="B1:G11"/>
  <sheetViews>
    <sheetView showGridLines="0" zoomScaleNormal="100" workbookViewId="0"/>
  </sheetViews>
  <sheetFormatPr defaultRowHeight="16.5" customHeight="1"/>
  <cols>
    <col min="1" max="1" width="3.140625" customWidth="1"/>
    <col min="2" max="2" width="12.28515625" customWidth="1"/>
    <col min="3" max="3" width="22" bestFit="1" customWidth="1"/>
    <col min="4" max="4" width="12.28515625" customWidth="1"/>
    <col min="5" max="5" width="15.7109375" customWidth="1"/>
    <col min="6" max="6" width="42.85546875" customWidth="1"/>
    <col min="7" max="7" width="3.5703125" customWidth="1"/>
  </cols>
  <sheetData>
    <row r="1" spans="2:7" ht="16.5" customHeight="1">
      <c r="G1" t="s">
        <v>51</v>
      </c>
    </row>
    <row r="2" spans="2:7" ht="31.5" customHeight="1">
      <c r="B2" s="2" t="s">
        <v>38</v>
      </c>
      <c r="G2" t="s">
        <v>51</v>
      </c>
    </row>
    <row r="3" spans="2:7" ht="23.25" customHeight="1"/>
    <row r="4" spans="2:7" ht="16.5" customHeight="1">
      <c r="B4" s="12" t="s">
        <v>6</v>
      </c>
      <c r="C4" s="10" t="s">
        <v>7</v>
      </c>
      <c r="D4" s="12" t="s">
        <v>8</v>
      </c>
      <c r="E4" s="10" t="s">
        <v>10</v>
      </c>
      <c r="F4" s="12" t="s">
        <v>9</v>
      </c>
    </row>
    <row r="5" spans="2:7" ht="16.5" customHeight="1">
      <c r="B5" s="23">
        <v>40733</v>
      </c>
      <c r="C5" s="11" t="s">
        <v>11</v>
      </c>
      <c r="D5" s="17"/>
      <c r="E5" s="11" t="s">
        <v>1</v>
      </c>
      <c r="F5" s="14" t="s">
        <v>46</v>
      </c>
    </row>
    <row r="6" spans="2:7" ht="16.5" customHeight="1">
      <c r="B6" s="23">
        <v>40738</v>
      </c>
      <c r="C6" s="11" t="s">
        <v>13</v>
      </c>
      <c r="D6" s="17"/>
      <c r="E6" s="11" t="s">
        <v>2</v>
      </c>
      <c r="F6" s="14"/>
    </row>
    <row r="7" spans="2:7" ht="16.5" customHeight="1">
      <c r="B7" s="13"/>
      <c r="C7" s="11"/>
      <c r="D7" s="17"/>
      <c r="E7" s="11" t="s">
        <v>2</v>
      </c>
      <c r="F7" s="14"/>
    </row>
    <row r="8" spans="2:7" ht="16.5" customHeight="1">
      <c r="B8" s="13"/>
      <c r="C8" s="11"/>
      <c r="D8" s="17"/>
      <c r="E8" s="11" t="s">
        <v>3</v>
      </c>
      <c r="F8" s="14"/>
    </row>
    <row r="9" spans="2:7" ht="16.5" customHeight="1">
      <c r="B9" s="13"/>
      <c r="C9" s="11"/>
      <c r="D9" s="17"/>
      <c r="E9" s="11" t="s">
        <v>4</v>
      </c>
      <c r="F9" s="14"/>
    </row>
    <row r="10" spans="2:7" ht="16.5" customHeight="1">
      <c r="B10" s="13"/>
      <c r="C10" s="11"/>
      <c r="D10" s="17"/>
      <c r="E10" s="11" t="s">
        <v>5</v>
      </c>
      <c r="F10" s="14"/>
    </row>
    <row r="11" spans="2:7" ht="16.5" customHeight="1">
      <c r="B11" s="21" t="s">
        <v>12</v>
      </c>
      <c r="C11" s="20"/>
      <c r="D11" s="22">
        <f>SUBTOTAL(109,SpeLug[Importo])</f>
        <v>0</v>
      </c>
      <c r="E11" s="20"/>
      <c r="F11" s="19"/>
    </row>
  </sheetData>
  <phoneticPr fontId="10" type="noConversion"/>
  <dataValidations count="3">
    <dataValidation type="list" errorStyle="warning" allowBlank="1" showInputMessage="1" showErrorMessage="1" errorTitle="Unknown Category" error="An expense from the drop down should be selected in order for it to be included on the Summary sheet." sqref="E5:E10">
      <formula1>CategorieDiSpesa</formula1>
    </dataValidation>
    <dataValidation type="custom" errorStyle="warning" allowBlank="1" showInputMessage="1" showErrorMessage="1" errorTitle="Date Validation" error="A date in July needs be entered  in order for this expense to be added to the Summary sheet." sqref="B5:B10">
      <formula1>MONTH($B5)=7</formula1>
    </dataValidation>
    <dataValidation type="custom" errorStyle="warning" allowBlank="1" showInputMessage="1" showErrorMessage="1" errorTitle="Amount Validation" error="Amount should be a number." sqref="D5:D10">
      <formula1>ISNUMBER($D5)</formula1>
    </dataValidation>
  </dataValidations>
  <printOptions horizontalCentered="1"/>
  <pageMargins left="0.25" right="0.25" top="0.75" bottom="0.75" header="0.3" footer="0.3"/>
  <pageSetup fitToHeight="0"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5"/>
    <pageSetUpPr autoPageBreaks="0" fitToPage="1"/>
  </sheetPr>
  <dimension ref="B1:G12"/>
  <sheetViews>
    <sheetView showGridLines="0" zoomScaleNormal="100" workbookViewId="0"/>
  </sheetViews>
  <sheetFormatPr defaultRowHeight="16.5" customHeight="1"/>
  <cols>
    <col min="1" max="1" width="3.140625" customWidth="1"/>
    <col min="2" max="2" width="12.28515625" customWidth="1"/>
    <col min="3" max="3" width="22" bestFit="1" customWidth="1"/>
    <col min="4" max="4" width="12.28515625" customWidth="1"/>
    <col min="5" max="5" width="15.7109375" customWidth="1"/>
    <col min="6" max="6" width="42.85546875" customWidth="1"/>
    <col min="7" max="7" width="3.5703125" customWidth="1"/>
  </cols>
  <sheetData>
    <row r="1" spans="2:7" ht="16.5" customHeight="1">
      <c r="G1" t="s">
        <v>51</v>
      </c>
    </row>
    <row r="2" spans="2:7" ht="31.5" customHeight="1">
      <c r="B2" s="2" t="s">
        <v>39</v>
      </c>
      <c r="G2" t="s">
        <v>51</v>
      </c>
    </row>
    <row r="3" spans="2:7" ht="23.25" customHeight="1"/>
    <row r="4" spans="2:7" ht="16.5" customHeight="1">
      <c r="B4" s="12" t="s">
        <v>6</v>
      </c>
      <c r="C4" s="10" t="s">
        <v>7</v>
      </c>
      <c r="D4" s="12" t="s">
        <v>8</v>
      </c>
      <c r="E4" s="10" t="s">
        <v>10</v>
      </c>
      <c r="F4" s="12" t="s">
        <v>9</v>
      </c>
    </row>
    <row r="5" spans="2:7" ht="16.5" customHeight="1">
      <c r="B5" s="23">
        <v>40763</v>
      </c>
      <c r="C5" s="11" t="s">
        <v>11</v>
      </c>
      <c r="D5" s="17"/>
      <c r="E5" s="11" t="s">
        <v>1</v>
      </c>
      <c r="F5" s="14" t="s">
        <v>46</v>
      </c>
    </row>
    <row r="6" spans="2:7" ht="16.5" customHeight="1">
      <c r="B6" s="23">
        <v>40764</v>
      </c>
      <c r="C6" s="11" t="s">
        <v>13</v>
      </c>
      <c r="D6" s="17"/>
      <c r="E6" s="11" t="s">
        <v>2</v>
      </c>
      <c r="F6" s="14"/>
    </row>
    <row r="7" spans="2:7" ht="16.5" customHeight="1">
      <c r="B7" s="13"/>
      <c r="C7" s="11"/>
      <c r="D7" s="17"/>
      <c r="E7" s="11" t="s">
        <v>2</v>
      </c>
      <c r="F7" s="14"/>
    </row>
    <row r="8" spans="2:7" ht="16.5" customHeight="1">
      <c r="B8" s="13"/>
      <c r="C8" s="11"/>
      <c r="D8" s="17"/>
      <c r="E8" s="11" t="s">
        <v>3</v>
      </c>
      <c r="F8" s="14"/>
    </row>
    <row r="9" spans="2:7" ht="16.5" customHeight="1">
      <c r="B9" s="13"/>
      <c r="C9" s="11"/>
      <c r="D9" s="17"/>
      <c r="E9" s="11" t="s">
        <v>4</v>
      </c>
      <c r="F9" s="14"/>
    </row>
    <row r="10" spans="2:7" ht="16.5" customHeight="1">
      <c r="B10" s="13"/>
      <c r="C10" s="11"/>
      <c r="D10" s="17"/>
      <c r="E10" s="11" t="s">
        <v>5</v>
      </c>
      <c r="F10" s="14"/>
    </row>
    <row r="11" spans="2:7" ht="16.5" customHeight="1">
      <c r="B11" s="21" t="s">
        <v>12</v>
      </c>
      <c r="C11" s="20"/>
      <c r="D11" s="22">
        <f>SUBTOTAL(109,SpeAgo[Importo])</f>
        <v>0</v>
      </c>
      <c r="E11" s="20"/>
      <c r="F11" s="19"/>
    </row>
    <row r="12" spans="2:7" ht="16.5" customHeight="1">
      <c r="D12" s="18"/>
    </row>
  </sheetData>
  <phoneticPr fontId="10" type="noConversion"/>
  <dataValidations count="3">
    <dataValidation type="custom" errorStyle="warning" allowBlank="1" showInputMessage="1" showErrorMessage="1" errorTitle="Date Validation" error="A date in August needs be entered  in order for this expense to be added to the Summary sheet." sqref="B5:B10">
      <formula1>MONTH($B5)=8</formula1>
    </dataValidation>
    <dataValidation type="list" errorStyle="warning" allowBlank="1" showInputMessage="1" showErrorMessage="1" errorTitle="Unknown Category" error="An expense from the drop down should be selected in order for it to be included on the Summary sheet." sqref="E5:E10">
      <formula1>CategorieDiSpesa</formula1>
    </dataValidation>
    <dataValidation type="custom" errorStyle="warning" allowBlank="1" showInputMessage="1" showErrorMessage="1" errorTitle="Amount Validation" error="Amount should be a number." sqref="D5:D10">
      <formula1>ISNUMBER($D5)</formula1>
    </dataValidation>
  </dataValidations>
  <printOptions horizontalCentered="1"/>
  <pageMargins left="0.25" right="0.25" top="0.75" bottom="0.75" header="0.3" footer="0.3"/>
  <pageSetup fitToHeight="0"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5" tint="0.39997558519241921"/>
    <pageSetUpPr autoPageBreaks="0" fitToPage="1"/>
  </sheetPr>
  <dimension ref="B1:G11"/>
  <sheetViews>
    <sheetView showGridLines="0" workbookViewId="0"/>
  </sheetViews>
  <sheetFormatPr defaultRowHeight="16.5" customHeight="1"/>
  <cols>
    <col min="1" max="1" width="3.140625" customWidth="1"/>
    <col min="2" max="2" width="12.28515625" customWidth="1"/>
    <col min="3" max="3" width="22" bestFit="1" customWidth="1"/>
    <col min="4" max="4" width="12.28515625" customWidth="1"/>
    <col min="5" max="5" width="15.7109375" customWidth="1"/>
    <col min="6" max="6" width="42.85546875" customWidth="1"/>
    <col min="7" max="7" width="3.5703125" customWidth="1"/>
  </cols>
  <sheetData>
    <row r="1" spans="2:7" ht="16.5" customHeight="1">
      <c r="G1" t="s">
        <v>51</v>
      </c>
    </row>
    <row r="2" spans="2:7" ht="31.5" customHeight="1">
      <c r="B2" s="2" t="s">
        <v>40</v>
      </c>
      <c r="G2" t="s">
        <v>51</v>
      </c>
    </row>
    <row r="3" spans="2:7" ht="23.25" customHeight="1"/>
    <row r="4" spans="2:7" ht="16.5" customHeight="1">
      <c r="B4" s="12" t="s">
        <v>6</v>
      </c>
      <c r="C4" s="10" t="s">
        <v>7</v>
      </c>
      <c r="D4" s="12" t="s">
        <v>8</v>
      </c>
      <c r="E4" s="10" t="s">
        <v>10</v>
      </c>
      <c r="F4" s="12" t="s">
        <v>9</v>
      </c>
    </row>
    <row r="5" spans="2:7" ht="16.5" customHeight="1">
      <c r="B5" s="23">
        <v>40795</v>
      </c>
      <c r="C5" s="11" t="s">
        <v>11</v>
      </c>
      <c r="D5" s="17"/>
      <c r="E5" s="11" t="s">
        <v>1</v>
      </c>
      <c r="F5" s="14" t="s">
        <v>46</v>
      </c>
    </row>
    <row r="6" spans="2:7" ht="16.5" customHeight="1">
      <c r="B6" s="23">
        <v>40801</v>
      </c>
      <c r="C6" s="11" t="s">
        <v>13</v>
      </c>
      <c r="D6" s="17"/>
      <c r="E6" s="11" t="s">
        <v>2</v>
      </c>
      <c r="F6" s="14"/>
    </row>
    <row r="7" spans="2:7" ht="16.5" customHeight="1">
      <c r="B7" s="13"/>
      <c r="C7" s="11"/>
      <c r="D7" s="17"/>
      <c r="E7" s="11" t="s">
        <v>2</v>
      </c>
      <c r="F7" s="14"/>
    </row>
    <row r="8" spans="2:7" ht="16.5" customHeight="1">
      <c r="B8" s="13"/>
      <c r="C8" s="11"/>
      <c r="D8" s="17"/>
      <c r="E8" s="11" t="s">
        <v>3</v>
      </c>
      <c r="F8" s="14"/>
    </row>
    <row r="9" spans="2:7" ht="16.5" customHeight="1">
      <c r="B9" s="13"/>
      <c r="C9" s="11"/>
      <c r="D9" s="17"/>
      <c r="E9" s="11" t="s">
        <v>4</v>
      </c>
      <c r="F9" s="14"/>
    </row>
    <row r="10" spans="2:7" ht="16.5" customHeight="1">
      <c r="B10" s="13"/>
      <c r="C10" s="11"/>
      <c r="D10" s="17"/>
      <c r="E10" s="11" t="s">
        <v>5</v>
      </c>
      <c r="F10" s="14"/>
    </row>
    <row r="11" spans="2:7" ht="16.5" customHeight="1">
      <c r="B11" s="21" t="s">
        <v>12</v>
      </c>
      <c r="C11" s="20"/>
      <c r="D11" s="22">
        <f>SUBTOTAL(109,SpeSet[Importo])</f>
        <v>0</v>
      </c>
      <c r="E11" s="20"/>
      <c r="F11" s="19"/>
    </row>
  </sheetData>
  <phoneticPr fontId="10" type="noConversion"/>
  <dataValidations count="3">
    <dataValidation type="list" errorStyle="warning" allowBlank="1" showInputMessage="1" showErrorMessage="1" errorTitle="Unknown Category" error="An expense from the drop down should be selected in order for it to be included on the Summary sheet." sqref="E5:E10">
      <formula1>CategorieDiSpesa</formula1>
    </dataValidation>
    <dataValidation type="custom" errorStyle="warning" allowBlank="1" showInputMessage="1" showErrorMessage="1" errorTitle="Date Validation" error="A date in September needs be entered  in order for this expense to be added to the Summary sheet." sqref="B5:B10">
      <formula1>MONTH($B5)=9</formula1>
    </dataValidation>
    <dataValidation type="custom" errorStyle="warning" allowBlank="1" showInputMessage="1" showErrorMessage="1" errorTitle="Amount Validation" error="Amount should be a number." sqref="D5:D10">
      <formula1>ISNUMBER($D5)</formula1>
    </dataValidation>
  </dataValidations>
  <printOptions horizontalCentered="1"/>
  <pageMargins left="0.25" right="0.25" top="0.75" bottom="0.75" header="0.3" footer="0.3"/>
  <pageSetup fitToHeight="0"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5" tint="0.59999389629810485"/>
    <pageSetUpPr autoPageBreaks="0" fitToPage="1"/>
  </sheetPr>
  <dimension ref="B1:G12"/>
  <sheetViews>
    <sheetView showGridLines="0" workbookViewId="0"/>
  </sheetViews>
  <sheetFormatPr defaultRowHeight="16.5" customHeight="1"/>
  <cols>
    <col min="1" max="1" width="3.140625" customWidth="1"/>
    <col min="2" max="2" width="12.28515625" customWidth="1"/>
    <col min="3" max="3" width="22" bestFit="1" customWidth="1"/>
    <col min="4" max="4" width="12.28515625" customWidth="1"/>
    <col min="5" max="5" width="15.7109375" customWidth="1"/>
    <col min="6" max="6" width="42.85546875" customWidth="1"/>
    <col min="7" max="7" width="3.5703125" customWidth="1"/>
  </cols>
  <sheetData>
    <row r="1" spans="2:7" ht="16.5" customHeight="1">
      <c r="G1" t="s">
        <v>51</v>
      </c>
    </row>
    <row r="2" spans="2:7" ht="31.5" customHeight="1">
      <c r="B2" s="2" t="s">
        <v>41</v>
      </c>
      <c r="G2" t="s">
        <v>51</v>
      </c>
    </row>
    <row r="3" spans="2:7" ht="23.25" customHeight="1"/>
    <row r="4" spans="2:7" ht="16.5" customHeight="1">
      <c r="B4" s="12" t="s">
        <v>6</v>
      </c>
      <c r="C4" s="10" t="s">
        <v>7</v>
      </c>
      <c r="D4" s="12" t="s">
        <v>8</v>
      </c>
      <c r="E4" s="10" t="s">
        <v>10</v>
      </c>
      <c r="F4" s="12" t="s">
        <v>9</v>
      </c>
    </row>
    <row r="5" spans="2:7" ht="16.5" customHeight="1">
      <c r="B5" s="23">
        <v>40826</v>
      </c>
      <c r="C5" s="11" t="s">
        <v>11</v>
      </c>
      <c r="D5" s="17"/>
      <c r="E5" s="11" t="s">
        <v>1</v>
      </c>
      <c r="F5" s="14" t="s">
        <v>46</v>
      </c>
    </row>
    <row r="6" spans="2:7" ht="16.5" customHeight="1">
      <c r="B6" s="23">
        <v>40837</v>
      </c>
      <c r="C6" s="11" t="s">
        <v>13</v>
      </c>
      <c r="D6" s="17"/>
      <c r="E6" s="11" t="s">
        <v>2</v>
      </c>
      <c r="F6" s="14"/>
    </row>
    <row r="7" spans="2:7" ht="16.5" customHeight="1">
      <c r="B7" s="13"/>
      <c r="C7" s="11"/>
      <c r="D7" s="17"/>
      <c r="E7" s="11" t="s">
        <v>2</v>
      </c>
      <c r="F7" s="14"/>
    </row>
    <row r="8" spans="2:7" ht="16.5" customHeight="1">
      <c r="B8" s="13"/>
      <c r="C8" s="11"/>
      <c r="D8" s="17"/>
      <c r="E8" s="11" t="s">
        <v>3</v>
      </c>
      <c r="F8" s="14"/>
    </row>
    <row r="9" spans="2:7" ht="16.5" customHeight="1">
      <c r="B9" s="13"/>
      <c r="C9" s="11"/>
      <c r="D9" s="17"/>
      <c r="E9" s="11" t="s">
        <v>4</v>
      </c>
      <c r="F9" s="14"/>
    </row>
    <row r="10" spans="2:7" ht="16.5" customHeight="1">
      <c r="B10" s="13"/>
      <c r="C10" s="11"/>
      <c r="D10" s="17"/>
      <c r="E10" s="11" t="s">
        <v>5</v>
      </c>
      <c r="F10" s="14"/>
    </row>
    <row r="11" spans="2:7" ht="16.5" customHeight="1">
      <c r="B11" s="21" t="s">
        <v>12</v>
      </c>
      <c r="C11" s="20"/>
      <c r="D11" s="22">
        <f>SUBTOTAL(109,SpeOtt[Importo])</f>
        <v>0</v>
      </c>
      <c r="E11" s="20"/>
      <c r="F11" s="19"/>
    </row>
    <row r="12" spans="2:7" ht="16.5" customHeight="1">
      <c r="D12" s="18"/>
    </row>
  </sheetData>
  <phoneticPr fontId="10" type="noConversion"/>
  <dataValidations count="3">
    <dataValidation type="custom" errorStyle="warning" allowBlank="1" showInputMessage="1" showErrorMessage="1" errorTitle="Date Validation" error="A date in October needs be entered  in order for this expense to be added to the Summary sheet." sqref="B5:B10">
      <formula1>MONTH($B5)=10</formula1>
    </dataValidation>
    <dataValidation type="list" errorStyle="warning" allowBlank="1" showInputMessage="1" showErrorMessage="1" errorTitle="Unknown Category" error="An expense from the drop down should be selected in order for it to be included on the Summary sheet." sqref="E5:E10">
      <formula1>CategorieDiSpesa</formula1>
    </dataValidation>
    <dataValidation type="custom" errorStyle="warning" allowBlank="1" showInputMessage="1" showErrorMessage="1" errorTitle="Amount Validation" error="Amount should be a number." sqref="D5:D10">
      <formula1>ISNUMBER($D5)</formula1>
    </dataValidation>
  </dataValidations>
  <printOptions horizontalCentered="1"/>
  <pageMargins left="0.25" right="0.25" top="0.75" bottom="0.75" header="0.3" footer="0.3"/>
  <pageSetup fitToHeight="0" orientation="portrait"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5" tint="0.79998168889431442"/>
    <pageSetUpPr autoPageBreaks="0" fitToPage="1"/>
  </sheetPr>
  <dimension ref="B1:G12"/>
  <sheetViews>
    <sheetView showGridLines="0" workbookViewId="0"/>
  </sheetViews>
  <sheetFormatPr defaultRowHeight="16.5" customHeight="1"/>
  <cols>
    <col min="1" max="1" width="3.140625" customWidth="1"/>
    <col min="2" max="2" width="12.28515625" customWidth="1"/>
    <col min="3" max="3" width="22" customWidth="1"/>
    <col min="4" max="4" width="12.28515625" customWidth="1"/>
    <col min="5" max="5" width="15.7109375" customWidth="1"/>
    <col min="6" max="6" width="42.85546875" customWidth="1"/>
    <col min="7" max="7" width="3.5703125" customWidth="1"/>
  </cols>
  <sheetData>
    <row r="1" spans="2:7" ht="16.5" customHeight="1">
      <c r="G1" t="s">
        <v>51</v>
      </c>
    </row>
    <row r="2" spans="2:7" ht="31.5" customHeight="1">
      <c r="B2" s="2" t="s">
        <v>42</v>
      </c>
      <c r="G2" t="s">
        <v>51</v>
      </c>
    </row>
    <row r="3" spans="2:7" ht="23.25" customHeight="1"/>
    <row r="4" spans="2:7" ht="16.5" customHeight="1">
      <c r="B4" s="12" t="s">
        <v>6</v>
      </c>
      <c r="C4" s="10" t="s">
        <v>7</v>
      </c>
      <c r="D4" s="12" t="s">
        <v>8</v>
      </c>
      <c r="E4" s="10" t="s">
        <v>10</v>
      </c>
      <c r="F4" s="12" t="s">
        <v>9</v>
      </c>
    </row>
    <row r="5" spans="2:7" ht="16.5" customHeight="1">
      <c r="B5" s="23">
        <v>40861</v>
      </c>
      <c r="C5" s="11" t="s">
        <v>11</v>
      </c>
      <c r="D5" s="17"/>
      <c r="E5" s="11" t="s">
        <v>1</v>
      </c>
      <c r="F5" s="14" t="s">
        <v>46</v>
      </c>
    </row>
    <row r="6" spans="2:7" ht="16.5" customHeight="1">
      <c r="B6" s="23">
        <v>40868</v>
      </c>
      <c r="C6" s="11" t="s">
        <v>13</v>
      </c>
      <c r="D6" s="17"/>
      <c r="E6" s="11" t="s">
        <v>2</v>
      </c>
      <c r="F6" s="14"/>
    </row>
    <row r="7" spans="2:7" ht="16.5" customHeight="1">
      <c r="B7" s="13"/>
      <c r="C7" s="11"/>
      <c r="D7" s="17"/>
      <c r="E7" s="11" t="s">
        <v>2</v>
      </c>
      <c r="F7" s="14"/>
    </row>
    <row r="8" spans="2:7" ht="16.5" customHeight="1">
      <c r="B8" s="13"/>
      <c r="C8" s="11"/>
      <c r="D8" s="17"/>
      <c r="E8" s="11" t="s">
        <v>3</v>
      </c>
      <c r="F8" s="14"/>
    </row>
    <row r="9" spans="2:7" ht="16.5" customHeight="1">
      <c r="B9" s="13"/>
      <c r="C9" s="11"/>
      <c r="D9" s="17"/>
      <c r="E9" s="11" t="s">
        <v>4</v>
      </c>
      <c r="F9" s="14"/>
    </row>
    <row r="10" spans="2:7" ht="16.5" customHeight="1">
      <c r="B10" s="13"/>
      <c r="C10" s="11"/>
      <c r="D10" s="17"/>
      <c r="E10" s="11" t="s">
        <v>5</v>
      </c>
      <c r="F10" s="14"/>
    </row>
    <row r="11" spans="2:7" ht="16.5" customHeight="1">
      <c r="B11" s="21" t="s">
        <v>12</v>
      </c>
      <c r="C11" s="20"/>
      <c r="D11" s="22">
        <f>SUBTOTAL(109,SpeNov[Importo])</f>
        <v>0</v>
      </c>
      <c r="E11" s="20"/>
      <c r="F11" s="19"/>
    </row>
    <row r="12" spans="2:7" ht="16.5" customHeight="1">
      <c r="D12" s="18"/>
    </row>
  </sheetData>
  <phoneticPr fontId="10" type="noConversion"/>
  <dataValidations count="3">
    <dataValidation type="custom" errorStyle="warning" allowBlank="1" showInputMessage="1" showErrorMessage="1" errorTitle="Date Validation" error="A date in November needs be entered  in order for this expense to be added to the Summary sheet." sqref="B5:B10">
      <formula1>MONTH($B5)=11</formula1>
    </dataValidation>
    <dataValidation type="list" errorStyle="warning" allowBlank="1" showInputMessage="1" showErrorMessage="1" errorTitle="Unknown Category" error="An expense from the drop down should be selected in order for it to be included on the Summary sheet." sqref="E5:E10">
      <formula1>CategorieDiSpesa</formula1>
    </dataValidation>
    <dataValidation type="custom" errorStyle="warning" allowBlank="1" showInputMessage="1" showErrorMessage="1" errorTitle="Amount Validation" error="Amount should be a number." sqref="D5:D10">
      <formula1>ISNUMBER($D5)</formula1>
    </dataValidation>
  </dataValidations>
  <printOptions horizontalCentered="1"/>
  <pageMargins left="0.25" right="0.25" top="0.75" bottom="0.75" header="0.3" footer="0.3"/>
  <pageSetup fitToHeight="0" orientation="portrait"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6"/>
    <pageSetUpPr autoPageBreaks="0" fitToPage="1"/>
  </sheetPr>
  <dimension ref="B1:G12"/>
  <sheetViews>
    <sheetView showGridLines="0" workbookViewId="0"/>
  </sheetViews>
  <sheetFormatPr defaultRowHeight="16.5" customHeight="1"/>
  <cols>
    <col min="1" max="1" width="3.140625" customWidth="1"/>
    <col min="2" max="2" width="12.28515625" customWidth="1"/>
    <col min="3" max="3" width="22.140625" customWidth="1"/>
    <col min="4" max="4" width="11.140625" bestFit="1" customWidth="1"/>
    <col min="5" max="5" width="15.7109375" customWidth="1"/>
    <col min="6" max="6" width="42.85546875" customWidth="1"/>
    <col min="7" max="7" width="3.5703125" customWidth="1"/>
  </cols>
  <sheetData>
    <row r="1" spans="2:7" ht="16.5" customHeight="1">
      <c r="G1" t="s">
        <v>51</v>
      </c>
    </row>
    <row r="2" spans="2:7" ht="31.5" customHeight="1">
      <c r="B2" s="2" t="s">
        <v>43</v>
      </c>
      <c r="G2" t="s">
        <v>51</v>
      </c>
    </row>
    <row r="3" spans="2:7" ht="23.25" customHeight="1"/>
    <row r="4" spans="2:7" ht="16.5" customHeight="1">
      <c r="B4" s="12" t="s">
        <v>6</v>
      </c>
      <c r="C4" s="10" t="s">
        <v>7</v>
      </c>
      <c r="D4" s="12" t="s">
        <v>8</v>
      </c>
      <c r="E4" s="10" t="s">
        <v>10</v>
      </c>
      <c r="F4" s="12" t="s">
        <v>9</v>
      </c>
    </row>
    <row r="5" spans="2:7" ht="16.5" customHeight="1">
      <c r="B5" s="23">
        <v>40879</v>
      </c>
      <c r="C5" s="11" t="s">
        <v>11</v>
      </c>
      <c r="D5" s="17">
        <v>201</v>
      </c>
      <c r="E5" s="11" t="s">
        <v>1</v>
      </c>
      <c r="F5" s="14" t="s">
        <v>46</v>
      </c>
    </row>
    <row r="6" spans="2:7" ht="16.5" customHeight="1">
      <c r="B6" s="23">
        <v>40891</v>
      </c>
      <c r="C6" s="11" t="s">
        <v>13</v>
      </c>
      <c r="D6" s="17">
        <v>98</v>
      </c>
      <c r="E6" s="11" t="s">
        <v>2</v>
      </c>
      <c r="F6" s="14"/>
    </row>
    <row r="7" spans="2:7" ht="16.5" customHeight="1">
      <c r="B7" s="13"/>
      <c r="C7" s="11"/>
      <c r="D7" s="17">
        <v>342</v>
      </c>
      <c r="E7" s="11" t="s">
        <v>2</v>
      </c>
      <c r="F7" s="14"/>
    </row>
    <row r="8" spans="2:7" ht="16.5" customHeight="1">
      <c r="B8" s="13"/>
      <c r="C8" s="11"/>
      <c r="D8" s="17">
        <v>122</v>
      </c>
      <c r="E8" s="11" t="s">
        <v>3</v>
      </c>
      <c r="F8" s="14"/>
    </row>
    <row r="9" spans="2:7" ht="16.5" customHeight="1">
      <c r="B9" s="13"/>
      <c r="C9" s="11"/>
      <c r="D9" s="17">
        <v>187</v>
      </c>
      <c r="E9" s="11" t="s">
        <v>4</v>
      </c>
      <c r="F9" s="14"/>
    </row>
    <row r="10" spans="2:7" ht="16.5" customHeight="1">
      <c r="B10" s="13"/>
      <c r="C10" s="11"/>
      <c r="D10" s="17">
        <v>99</v>
      </c>
      <c r="E10" s="11" t="s">
        <v>5</v>
      </c>
      <c r="F10" s="14"/>
    </row>
    <row r="11" spans="2:7" ht="16.5" customHeight="1">
      <c r="B11" s="21" t="s">
        <v>12</v>
      </c>
      <c r="C11" s="20"/>
      <c r="D11" s="22">
        <f>SUBTOTAL(109,SpeDic[Importo])</f>
        <v>1049</v>
      </c>
      <c r="E11" s="20"/>
      <c r="F11" s="19"/>
    </row>
    <row r="12" spans="2:7" ht="16.5" customHeight="1">
      <c r="D12" s="18"/>
    </row>
  </sheetData>
  <phoneticPr fontId="10" type="noConversion"/>
  <dataValidations count="3">
    <dataValidation type="custom" errorStyle="warning" allowBlank="1" showInputMessage="1" showErrorMessage="1" errorTitle="Date Validation" error="A date in December needs be entered  in order for this expense to be added to the Summary sheet." sqref="B5:B10">
      <formula1>MONTH($B5)=12</formula1>
    </dataValidation>
    <dataValidation type="list" errorStyle="warning" allowBlank="1" showInputMessage="1" showErrorMessage="1" errorTitle="Unknown Category" error="An expense from the drop down should be selected in order for it to be included on the Summary sheet." sqref="E5:E10">
      <formula1>CategorieDiSpesa</formula1>
    </dataValidation>
    <dataValidation type="custom" errorStyle="warning" allowBlank="1" showInputMessage="1" showErrorMessage="1" errorTitle="Amount Validation" error="Amount should be a number." sqref="D5:D10">
      <formula1>ISNUMBER($D5)</formula1>
    </dataValidation>
  </dataValidations>
  <printOptions horizontalCentered="1"/>
  <pageMargins left="0.25" right="0.25" top="0.75" bottom="0.75" header="0.3" footer="0.3"/>
  <pageSetup fitToHeight="0"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8CD4FA7C-C916-4038-B154-60FF9CC9F1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14</vt:i4>
      </vt:variant>
      <vt:variant>
        <vt:lpstr>Intervalli denominati</vt:lpstr>
      </vt:variant>
      <vt:variant>
        <vt:i4>14</vt:i4>
      </vt:variant>
    </vt:vector>
  </HeadingPairs>
  <TitlesOfParts>
    <vt:vector size="28" baseType="lpstr">
      <vt:lpstr>suggerimenti</vt:lpstr>
      <vt:lpstr>riepilogo</vt:lpstr>
      <vt:lpstr>gen</vt:lpstr>
      <vt:lpstr>feb</vt:lpstr>
      <vt:lpstr>mar</vt:lpstr>
      <vt:lpstr>apr</vt:lpstr>
      <vt:lpstr>mag</vt:lpstr>
      <vt:lpstr>giu</vt:lpstr>
      <vt:lpstr>lug</vt:lpstr>
      <vt:lpstr>ago</vt:lpstr>
      <vt:lpstr>set</vt:lpstr>
      <vt:lpstr>ott</vt:lpstr>
      <vt:lpstr>nov</vt:lpstr>
      <vt:lpstr>dic</vt:lpstr>
      <vt:lpstr>ago!Area_stampa</vt:lpstr>
      <vt:lpstr>apr!Area_stampa</vt:lpstr>
      <vt:lpstr>dic!Area_stampa</vt:lpstr>
      <vt:lpstr>feb!Area_stampa</vt:lpstr>
      <vt:lpstr>gen!Area_stampa</vt:lpstr>
      <vt:lpstr>giu!Area_stampa</vt:lpstr>
      <vt:lpstr>lug!Area_stampa</vt:lpstr>
      <vt:lpstr>mag!Area_stampa</vt:lpstr>
      <vt:lpstr>mar!Area_stampa</vt:lpstr>
      <vt:lpstr>nov!Area_stampa</vt:lpstr>
      <vt:lpstr>ott!Area_stampa</vt:lpstr>
      <vt:lpstr>riepilogo!Area_stampa</vt:lpstr>
      <vt:lpstr>set!Area_stampa</vt:lpstr>
      <vt:lpstr>suggerimenti!Area_stampa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2014-12-20T18:49:37Z</dcterms:created>
  <dcterms:modified xsi:type="dcterms:W3CDTF">2014-12-20T18:49:37Z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TC028023349991</vt:lpwstr>
  </property>
</Properties>
</file>